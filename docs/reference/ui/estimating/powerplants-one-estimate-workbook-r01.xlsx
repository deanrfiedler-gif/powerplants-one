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an.Fiedler\Downloads\"/>
    </mc:Choice>
  </mc:AlternateContent>
  <xr:revisionPtr revIDLastSave="0" documentId="13_ncr:1_{CAF13FB5-F277-4B1F-8C8F-A2FD85AF66D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Overview" sheetId="1" r:id="rId1"/>
    <sheet name="Project" sheetId="2" r:id="rId2"/>
    <sheet name="Estimate lines" sheetId="3" r:id="rId3"/>
    <sheet name="Scope" sheetId="4" r:id="rId4"/>
    <sheet name="Sources" sheetId="5" r:id="rId5"/>
    <sheet name="Calculation" sheetId="6" r:id="rId6"/>
    <sheet name="PPO expo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P105" i="3"/>
  <c r="O105" i="3"/>
  <c r="N105" i="3"/>
  <c r="P104" i="3"/>
  <c r="A104" i="7" s="1"/>
  <c r="O104" i="3"/>
  <c r="N104" i="3"/>
  <c r="P103" i="3"/>
  <c r="E103" i="7" s="1"/>
  <c r="O103" i="3"/>
  <c r="N103" i="3"/>
  <c r="P102" i="3"/>
  <c r="L102" i="7" s="1"/>
  <c r="O102" i="3"/>
  <c r="N102" i="3"/>
  <c r="P101" i="3"/>
  <c r="O101" i="3"/>
  <c r="N101" i="3"/>
  <c r="P100" i="3"/>
  <c r="H100" i="7" s="1"/>
  <c r="O100" i="3"/>
  <c r="N100" i="3"/>
  <c r="P99" i="3"/>
  <c r="O99" i="3"/>
  <c r="N99" i="3"/>
  <c r="P98" i="3"/>
  <c r="E98" i="7" s="1"/>
  <c r="O98" i="3"/>
  <c r="N98" i="3"/>
  <c r="P97" i="3"/>
  <c r="I97" i="7" s="1"/>
  <c r="O97" i="3"/>
  <c r="N97" i="3"/>
  <c r="P96" i="3"/>
  <c r="L96" i="7" s="1"/>
  <c r="O96" i="3"/>
  <c r="N96" i="3"/>
  <c r="P95" i="3"/>
  <c r="M95" i="7" s="1"/>
  <c r="O95" i="3"/>
  <c r="N95" i="3"/>
  <c r="P94" i="3"/>
  <c r="O94" i="3"/>
  <c r="N94" i="3"/>
  <c r="P93" i="3"/>
  <c r="O93" i="3"/>
  <c r="N93" i="3"/>
  <c r="P92" i="3"/>
  <c r="I92" i="7" s="1"/>
  <c r="O92" i="3"/>
  <c r="N92" i="3"/>
  <c r="P91" i="3"/>
  <c r="M91" i="7" s="1"/>
  <c r="O91" i="3"/>
  <c r="N91" i="3"/>
  <c r="P90" i="3"/>
  <c r="F90" i="7" s="1"/>
  <c r="O90" i="3"/>
  <c r="N90" i="3"/>
  <c r="P89" i="3"/>
  <c r="O89" i="3"/>
  <c r="N89" i="3"/>
  <c r="P88" i="3"/>
  <c r="O88" i="3"/>
  <c r="N88" i="3"/>
  <c r="P87" i="3"/>
  <c r="O87" i="3"/>
  <c r="N87" i="3"/>
  <c r="P86" i="3"/>
  <c r="M86" i="7" s="1"/>
  <c r="O86" i="3"/>
  <c r="N86" i="3"/>
  <c r="P85" i="3"/>
  <c r="L85" i="7" s="1"/>
  <c r="O85" i="3"/>
  <c r="N85" i="3"/>
  <c r="P84" i="3"/>
  <c r="O84" i="3"/>
  <c r="N84" i="3"/>
  <c r="P83" i="3"/>
  <c r="O83" i="3"/>
  <c r="N83" i="3"/>
  <c r="P82" i="3"/>
  <c r="D82" i="7" s="1"/>
  <c r="O82" i="3"/>
  <c r="N82" i="3"/>
  <c r="P81" i="3"/>
  <c r="E81" i="7" s="1"/>
  <c r="O81" i="3"/>
  <c r="N81" i="3"/>
  <c r="P80" i="3"/>
  <c r="M80" i="7" s="1"/>
  <c r="O80" i="3"/>
  <c r="N80" i="3"/>
  <c r="P79" i="3"/>
  <c r="M79" i="7" s="1"/>
  <c r="O79" i="3"/>
  <c r="N79" i="3"/>
  <c r="P78" i="3"/>
  <c r="O78" i="3"/>
  <c r="N78" i="3"/>
  <c r="P77" i="3"/>
  <c r="G77" i="7" s="1"/>
  <c r="O77" i="3"/>
  <c r="N77" i="3"/>
  <c r="P76" i="3"/>
  <c r="H76" i="7" s="1"/>
  <c r="O76" i="3"/>
  <c r="N76" i="3"/>
  <c r="P75" i="3"/>
  <c r="I75" i="7" s="1"/>
  <c r="O75" i="3"/>
  <c r="N75" i="3"/>
  <c r="P74" i="3"/>
  <c r="O74" i="3"/>
  <c r="N74" i="3"/>
  <c r="P73" i="3"/>
  <c r="O73" i="3"/>
  <c r="N73" i="3"/>
  <c r="P72" i="3"/>
  <c r="M72" i="7" s="1"/>
  <c r="O72" i="3"/>
  <c r="N72" i="3"/>
  <c r="P71" i="3"/>
  <c r="A71" i="7" s="1"/>
  <c r="O71" i="3"/>
  <c r="N71" i="3"/>
  <c r="P70" i="3"/>
  <c r="L70" i="7" s="1"/>
  <c r="O70" i="3"/>
  <c r="N70" i="3"/>
  <c r="P69" i="3"/>
  <c r="M69" i="7" s="1"/>
  <c r="O69" i="3"/>
  <c r="N69" i="3"/>
  <c r="P68" i="3"/>
  <c r="L68" i="7" s="1"/>
  <c r="O68" i="3"/>
  <c r="N68" i="3"/>
  <c r="P67" i="3"/>
  <c r="E67" i="7" s="1"/>
  <c r="O67" i="3"/>
  <c r="N67" i="3"/>
  <c r="P66" i="3"/>
  <c r="O66" i="3"/>
  <c r="N66" i="3"/>
  <c r="P65" i="3"/>
  <c r="F65" i="7" s="1"/>
  <c r="O65" i="3"/>
  <c r="N65" i="3"/>
  <c r="P64" i="3"/>
  <c r="O64" i="3"/>
  <c r="N64" i="3"/>
  <c r="P63" i="3"/>
  <c r="M63" i="7" s="1"/>
  <c r="O63" i="3"/>
  <c r="N63" i="3"/>
  <c r="P62" i="3"/>
  <c r="K62" i="7" s="1"/>
  <c r="O62" i="3"/>
  <c r="N62" i="3"/>
  <c r="P61" i="3"/>
  <c r="C61" i="7" s="1"/>
  <c r="O61" i="3"/>
  <c r="N61" i="3"/>
  <c r="P60" i="3"/>
  <c r="L60" i="7" s="1"/>
  <c r="O60" i="3"/>
  <c r="N60" i="3"/>
  <c r="P59" i="3"/>
  <c r="O59" i="3"/>
  <c r="N59" i="3"/>
  <c r="P58" i="3"/>
  <c r="L58" i="7" s="1"/>
  <c r="O58" i="3"/>
  <c r="N58" i="3"/>
  <c r="P57" i="3"/>
  <c r="O57" i="3"/>
  <c r="N57" i="3"/>
  <c r="P56" i="3"/>
  <c r="J56" i="7" s="1"/>
  <c r="O56" i="3"/>
  <c r="N56" i="3"/>
  <c r="P55" i="3"/>
  <c r="O55" i="3"/>
  <c r="N55" i="3"/>
  <c r="P54" i="3"/>
  <c r="J54" i="7" s="1"/>
  <c r="O54" i="3"/>
  <c r="N54" i="3"/>
  <c r="P53" i="3"/>
  <c r="M53" i="7" s="1"/>
  <c r="O53" i="3"/>
  <c r="N53" i="3"/>
  <c r="P52" i="3"/>
  <c r="G52" i="7" s="1"/>
  <c r="O52" i="3"/>
  <c r="N52" i="3"/>
  <c r="P51" i="3"/>
  <c r="K51" i="7" s="1"/>
  <c r="O51" i="3"/>
  <c r="N51" i="3"/>
  <c r="P50" i="3"/>
  <c r="O50" i="3"/>
  <c r="N50" i="3"/>
  <c r="P49" i="3"/>
  <c r="L49" i="7" s="1"/>
  <c r="O49" i="3"/>
  <c r="N49" i="3"/>
  <c r="P48" i="3"/>
  <c r="B48" i="7" s="1"/>
  <c r="O48" i="3"/>
  <c r="N48" i="3"/>
  <c r="P47" i="3"/>
  <c r="M47" i="7" s="1"/>
  <c r="O47" i="3"/>
  <c r="N47" i="3"/>
  <c r="P46" i="3"/>
  <c r="O46" i="3"/>
  <c r="N46" i="3"/>
  <c r="P45" i="3"/>
  <c r="O45" i="3"/>
  <c r="N45" i="3"/>
  <c r="P44" i="3"/>
  <c r="O44" i="3"/>
  <c r="N44" i="3"/>
  <c r="P43" i="3"/>
  <c r="K43" i="7" s="1"/>
  <c r="O43" i="3"/>
  <c r="N43" i="3"/>
  <c r="P42" i="3"/>
  <c r="I42" i="7" s="1"/>
  <c r="O42" i="3"/>
  <c r="N42" i="3"/>
  <c r="P41" i="3"/>
  <c r="O41" i="3"/>
  <c r="N41" i="3"/>
  <c r="P40" i="3"/>
  <c r="L40" i="7" s="1"/>
  <c r="O40" i="3"/>
  <c r="N40" i="3"/>
  <c r="P39" i="3"/>
  <c r="G39" i="7" s="1"/>
  <c r="O39" i="3"/>
  <c r="N39" i="3"/>
  <c r="P38" i="3"/>
  <c r="L38" i="7" s="1"/>
  <c r="O38" i="3"/>
  <c r="N38" i="3"/>
  <c r="P37" i="3"/>
  <c r="O37" i="3"/>
  <c r="N37" i="3"/>
  <c r="P36" i="3"/>
  <c r="O36" i="3"/>
  <c r="N36" i="3"/>
  <c r="P35" i="3"/>
  <c r="I35" i="7" s="1"/>
  <c r="O35" i="3"/>
  <c r="N35" i="3"/>
  <c r="P34" i="3"/>
  <c r="M34" i="7" s="1"/>
  <c r="O34" i="3"/>
  <c r="N34" i="3"/>
  <c r="P33" i="3"/>
  <c r="M33" i="7" s="1"/>
  <c r="O33" i="3"/>
  <c r="N33" i="3"/>
  <c r="P32" i="3"/>
  <c r="C32" i="7" s="1"/>
  <c r="O32" i="3"/>
  <c r="N32" i="3"/>
  <c r="P31" i="3"/>
  <c r="O31" i="3"/>
  <c r="N31" i="3"/>
  <c r="P30" i="3"/>
  <c r="G30" i="7" s="1"/>
  <c r="O30" i="3"/>
  <c r="N30" i="3"/>
  <c r="P29" i="3"/>
  <c r="M29" i="7" s="1"/>
  <c r="O29" i="3"/>
  <c r="N29" i="3"/>
  <c r="P28" i="3"/>
  <c r="K28" i="7" s="1"/>
  <c r="O28" i="3"/>
  <c r="N28" i="3"/>
  <c r="P27" i="3"/>
  <c r="A27" i="7" s="1"/>
  <c r="O27" i="3"/>
  <c r="N27" i="3"/>
  <c r="P26" i="3"/>
  <c r="L26" i="7" s="1"/>
  <c r="O26" i="3"/>
  <c r="N26" i="3"/>
  <c r="P25" i="3"/>
  <c r="C25" i="7" s="1"/>
  <c r="O25" i="3"/>
  <c r="N25" i="3"/>
  <c r="P24" i="3"/>
  <c r="M24" i="7" s="1"/>
  <c r="O24" i="3"/>
  <c r="N24" i="3"/>
  <c r="P23" i="3"/>
  <c r="D23" i="7" s="1"/>
  <c r="O23" i="3"/>
  <c r="N23" i="3"/>
  <c r="P22" i="3"/>
  <c r="O22" i="3"/>
  <c r="N22" i="3"/>
  <c r="P21" i="3"/>
  <c r="H21" i="7" s="1"/>
  <c r="O21" i="3"/>
  <c r="N21" i="3"/>
  <c r="P20" i="3"/>
  <c r="A20" i="7" s="1"/>
  <c r="O20" i="3"/>
  <c r="N20" i="3"/>
  <c r="P19" i="3"/>
  <c r="M19" i="7" s="1"/>
  <c r="O19" i="3"/>
  <c r="N19" i="3"/>
  <c r="P18" i="3"/>
  <c r="M18" i="7" s="1"/>
  <c r="O18" i="3"/>
  <c r="N18" i="3"/>
  <c r="P17" i="3"/>
  <c r="A17" i="7" s="1"/>
  <c r="O17" i="3"/>
  <c r="N17" i="3"/>
  <c r="P16" i="3"/>
  <c r="G16" i="7" s="1"/>
  <c r="O16" i="3"/>
  <c r="N16" i="3"/>
  <c r="P15" i="3"/>
  <c r="C15" i="7" s="1"/>
  <c r="O15" i="3"/>
  <c r="N15" i="3"/>
  <c r="P14" i="3"/>
  <c r="A14" i="7" s="1"/>
  <c r="O14" i="3"/>
  <c r="N14" i="3"/>
  <c r="E13" i="3"/>
  <c r="P13" i="3" s="1"/>
  <c r="P12" i="3"/>
  <c r="J12" i="7" s="1"/>
  <c r="O12" i="3"/>
  <c r="N12" i="3"/>
  <c r="P11" i="3"/>
  <c r="H11" i="7" s="1"/>
  <c r="O11" i="3"/>
  <c r="N11" i="3"/>
  <c r="P10" i="3"/>
  <c r="D10" i="7" s="1"/>
  <c r="O10" i="3"/>
  <c r="N10" i="3"/>
  <c r="P9" i="3"/>
  <c r="B9" i="7" s="1"/>
  <c r="O9" i="3"/>
  <c r="N9" i="3"/>
  <c r="P8" i="3"/>
  <c r="M8" i="7" s="1"/>
  <c r="O8" i="3"/>
  <c r="N8" i="3"/>
  <c r="P7" i="3"/>
  <c r="L7" i="7" s="1"/>
  <c r="O7" i="3"/>
  <c r="N7" i="3"/>
  <c r="P6" i="3"/>
  <c r="J6" i="7" s="1"/>
  <c r="O6" i="3"/>
  <c r="N6" i="3"/>
  <c r="D12" i="1"/>
  <c r="D11" i="1"/>
  <c r="D10" i="1"/>
  <c r="D9" i="1"/>
  <c r="D8" i="1"/>
  <c r="D7" i="1"/>
  <c r="D6" i="1"/>
  <c r="M13" i="7" l="1"/>
  <c r="L13" i="7"/>
  <c r="K13" i="7"/>
  <c r="J13" i="7"/>
  <c r="I13" i="7"/>
  <c r="H13" i="7"/>
  <c r="G13" i="7"/>
  <c r="F13" i="7"/>
  <c r="E13" i="7"/>
  <c r="D13" i="7"/>
  <c r="B10" i="1"/>
  <c r="C13" i="7"/>
  <c r="B13" i="7"/>
  <c r="A13" i="7"/>
  <c r="Q104" i="7"/>
  <c r="P104" i="7"/>
  <c r="O104" i="7"/>
  <c r="N104" i="7"/>
  <c r="Q20" i="7"/>
  <c r="O20" i="7"/>
  <c r="N20" i="7"/>
  <c r="P20" i="7"/>
  <c r="Q27" i="7"/>
  <c r="P27" i="7"/>
  <c r="O27" i="7"/>
  <c r="N27" i="7"/>
  <c r="Q14" i="7"/>
  <c r="P14" i="7"/>
  <c r="O14" i="7"/>
  <c r="N14" i="7"/>
  <c r="N71" i="7"/>
  <c r="Q71" i="7"/>
  <c r="P71" i="7"/>
  <c r="O71" i="7"/>
  <c r="O17" i="7"/>
  <c r="N17" i="7"/>
  <c r="A31" i="7"/>
  <c r="L31" i="7"/>
  <c r="J31" i="7"/>
  <c r="I31" i="7"/>
  <c r="M45" i="7"/>
  <c r="L45" i="7"/>
  <c r="H45" i="7"/>
  <c r="G45" i="7"/>
  <c r="D45" i="7"/>
  <c r="B45" i="7"/>
  <c r="J45" i="7"/>
  <c r="I45" i="7"/>
  <c r="M59" i="7"/>
  <c r="L59" i="7"/>
  <c r="H59" i="7"/>
  <c r="G59" i="7"/>
  <c r="D59" i="7"/>
  <c r="B59" i="7"/>
  <c r="A59" i="7"/>
  <c r="M73" i="7"/>
  <c r="L73" i="7"/>
  <c r="H73" i="7"/>
  <c r="G73" i="7"/>
  <c r="D73" i="7"/>
  <c r="B73" i="7"/>
  <c r="I73" i="7"/>
  <c r="F73" i="7"/>
  <c r="E73" i="7"/>
  <c r="C73" i="7"/>
  <c r="M87" i="7"/>
  <c r="L87" i="7"/>
  <c r="H87" i="7"/>
  <c r="G87" i="7"/>
  <c r="D87" i="7"/>
  <c r="B87" i="7"/>
  <c r="K87" i="7"/>
  <c r="J87" i="7"/>
  <c r="F87" i="7"/>
  <c r="E87" i="7"/>
  <c r="M101" i="7"/>
  <c r="L101" i="7"/>
  <c r="H101" i="7"/>
  <c r="G101" i="7"/>
  <c r="D101" i="7"/>
  <c r="B101" i="7"/>
  <c r="K101" i="7"/>
  <c r="A6" i="7"/>
  <c r="A8" i="7"/>
  <c r="M12" i="7"/>
  <c r="M14" i="7"/>
  <c r="L15" i="7"/>
  <c r="K16" i="7"/>
  <c r="J17" i="7"/>
  <c r="I18" i="7"/>
  <c r="J19" i="7"/>
  <c r="I20" i="7"/>
  <c r="M21" i="7"/>
  <c r="A23" i="7"/>
  <c r="F24" i="7"/>
  <c r="J25" i="7"/>
  <c r="B28" i="7"/>
  <c r="I29" i="7"/>
  <c r="K30" i="7"/>
  <c r="A32" i="7"/>
  <c r="E33" i="7"/>
  <c r="J34" i="7"/>
  <c r="G40" i="7"/>
  <c r="F42" i="7"/>
  <c r="E49" i="7"/>
  <c r="G51" i="7"/>
  <c r="C58" i="7"/>
  <c r="K60" i="7"/>
  <c r="J62" i="7"/>
  <c r="A65" i="7"/>
  <c r="L69" i="7"/>
  <c r="F72" i="7"/>
  <c r="B77" i="7"/>
  <c r="G82" i="7"/>
  <c r="B85" i="7"/>
  <c r="C87" i="7"/>
  <c r="D95" i="7"/>
  <c r="D97" i="7"/>
  <c r="K102" i="7"/>
  <c r="O13" i="3"/>
  <c r="M22" i="7"/>
  <c r="K22" i="7"/>
  <c r="I22" i="7"/>
  <c r="H22" i="7"/>
  <c r="L36" i="7"/>
  <c r="K36" i="7"/>
  <c r="G36" i="7"/>
  <c r="F36" i="7"/>
  <c r="C36" i="7"/>
  <c r="A36" i="7"/>
  <c r="L50" i="7"/>
  <c r="K50" i="7"/>
  <c r="G50" i="7"/>
  <c r="F50" i="7"/>
  <c r="C50" i="7"/>
  <c r="A50" i="7"/>
  <c r="H50" i="7"/>
  <c r="E50" i="7"/>
  <c r="B50" i="7"/>
  <c r="L64" i="7"/>
  <c r="K64" i="7"/>
  <c r="G64" i="7"/>
  <c r="F64" i="7"/>
  <c r="C64" i="7"/>
  <c r="A64" i="7"/>
  <c r="M64" i="7"/>
  <c r="I64" i="7"/>
  <c r="E64" i="7"/>
  <c r="D64" i="7"/>
  <c r="L78" i="7"/>
  <c r="K78" i="7"/>
  <c r="G78" i="7"/>
  <c r="F78" i="7"/>
  <c r="C78" i="7"/>
  <c r="A78" i="7"/>
  <c r="M78" i="7"/>
  <c r="J78" i="7"/>
  <c r="L92" i="7"/>
  <c r="K92" i="7"/>
  <c r="G92" i="7"/>
  <c r="F92" i="7"/>
  <c r="C92" i="7"/>
  <c r="A92" i="7"/>
  <c r="D92" i="7"/>
  <c r="B92" i="7"/>
  <c r="B6" i="7"/>
  <c r="A7" i="7"/>
  <c r="B8" i="7"/>
  <c r="A9" i="7"/>
  <c r="M15" i="7"/>
  <c r="L16" i="7"/>
  <c r="K17" i="7"/>
  <c r="J18" i="7"/>
  <c r="K19" i="7"/>
  <c r="J20" i="7"/>
  <c r="B23" i="7"/>
  <c r="I24" i="7"/>
  <c r="K25" i="7"/>
  <c r="C28" i="7"/>
  <c r="J29" i="7"/>
  <c r="B32" i="7"/>
  <c r="G33" i="7"/>
  <c r="K34" i="7"/>
  <c r="B36" i="7"/>
  <c r="B38" i="7"/>
  <c r="J40" i="7"/>
  <c r="C47" i="7"/>
  <c r="G49" i="7"/>
  <c r="E56" i="7"/>
  <c r="D58" i="7"/>
  <c r="B65" i="7"/>
  <c r="H72" i="7"/>
  <c r="C75" i="7"/>
  <c r="J82" i="7"/>
  <c r="C85" i="7"/>
  <c r="I87" i="7"/>
  <c r="J92" i="7"/>
  <c r="E95" i="7"/>
  <c r="N13" i="3"/>
  <c r="B9" i="1"/>
  <c r="M27" i="7"/>
  <c r="L27" i="7"/>
  <c r="J27" i="7"/>
  <c r="H27" i="7"/>
  <c r="G27" i="7"/>
  <c r="K41" i="7"/>
  <c r="J41" i="7"/>
  <c r="F41" i="7"/>
  <c r="E41" i="7"/>
  <c r="B41" i="7"/>
  <c r="M41" i="7"/>
  <c r="L41" i="7"/>
  <c r="H41" i="7"/>
  <c r="D41" i="7"/>
  <c r="C41" i="7"/>
  <c r="K55" i="7"/>
  <c r="J55" i="7"/>
  <c r="F55" i="7"/>
  <c r="E55" i="7"/>
  <c r="B55" i="7"/>
  <c r="L55" i="7"/>
  <c r="I55" i="7"/>
  <c r="K69" i="7"/>
  <c r="J69" i="7"/>
  <c r="F69" i="7"/>
  <c r="E69" i="7"/>
  <c r="B69" i="7"/>
  <c r="C69" i="7"/>
  <c r="A69" i="7"/>
  <c r="K83" i="7"/>
  <c r="J83" i="7"/>
  <c r="F83" i="7"/>
  <c r="E83" i="7"/>
  <c r="B83" i="7"/>
  <c r="I83" i="7"/>
  <c r="H83" i="7"/>
  <c r="G83" i="7"/>
  <c r="D83" i="7"/>
  <c r="A83" i="7"/>
  <c r="K97" i="7"/>
  <c r="J97" i="7"/>
  <c r="F97" i="7"/>
  <c r="E97" i="7"/>
  <c r="B97" i="7"/>
  <c r="M97" i="7"/>
  <c r="L97" i="7"/>
  <c r="H97" i="7"/>
  <c r="G97" i="7"/>
  <c r="C6" i="7"/>
  <c r="D7" i="7"/>
  <c r="C8" i="7"/>
  <c r="A10" i="7"/>
  <c r="M16" i="7"/>
  <c r="L17" i="7"/>
  <c r="L19" i="7"/>
  <c r="K20" i="7"/>
  <c r="A22" i="7"/>
  <c r="C23" i="7"/>
  <c r="J24" i="7"/>
  <c r="L25" i="7"/>
  <c r="B27" i="7"/>
  <c r="F28" i="7"/>
  <c r="K29" i="7"/>
  <c r="J33" i="7"/>
  <c r="L34" i="7"/>
  <c r="D36" i="7"/>
  <c r="C38" i="7"/>
  <c r="K40" i="7"/>
  <c r="A45" i="7"/>
  <c r="E47" i="7"/>
  <c r="H49" i="7"/>
  <c r="F56" i="7"/>
  <c r="F58" i="7"/>
  <c r="E65" i="7"/>
  <c r="I72" i="7"/>
  <c r="D75" i="7"/>
  <c r="K82" i="7"/>
  <c r="F85" i="7"/>
  <c r="A90" i="7"/>
  <c r="M92" i="7"/>
  <c r="G95" i="7"/>
  <c r="A98" i="7"/>
  <c r="C100" i="7"/>
  <c r="K9" i="7"/>
  <c r="J9" i="7"/>
  <c r="L18" i="7"/>
  <c r="K18" i="7"/>
  <c r="L32" i="7"/>
  <c r="K32" i="7"/>
  <c r="I32" i="7"/>
  <c r="G32" i="7"/>
  <c r="F32" i="7"/>
  <c r="J46" i="7"/>
  <c r="I46" i="7"/>
  <c r="E46" i="7"/>
  <c r="D46" i="7"/>
  <c r="A46" i="7"/>
  <c r="M46" i="7"/>
  <c r="B46" i="7"/>
  <c r="J60" i="7"/>
  <c r="I60" i="7"/>
  <c r="E60" i="7"/>
  <c r="D60" i="7"/>
  <c r="A60" i="7"/>
  <c r="M60" i="7"/>
  <c r="H60" i="7"/>
  <c r="G60" i="7"/>
  <c r="C60" i="7"/>
  <c r="J74" i="7"/>
  <c r="I74" i="7"/>
  <c r="E74" i="7"/>
  <c r="D74" i="7"/>
  <c r="A74" i="7"/>
  <c r="M74" i="7"/>
  <c r="L74" i="7"/>
  <c r="K74" i="7"/>
  <c r="G74" i="7"/>
  <c r="F74" i="7"/>
  <c r="J88" i="7"/>
  <c r="I88" i="7"/>
  <c r="E88" i="7"/>
  <c r="D88" i="7"/>
  <c r="A88" i="7"/>
  <c r="M88" i="7"/>
  <c r="L88" i="7"/>
  <c r="J102" i="7"/>
  <c r="I102" i="7"/>
  <c r="E102" i="7"/>
  <c r="D102" i="7"/>
  <c r="A102" i="7"/>
  <c r="M102" i="7"/>
  <c r="F102" i="7"/>
  <c r="C102" i="7"/>
  <c r="B102" i="7"/>
  <c r="D6" i="7"/>
  <c r="E7" i="7"/>
  <c r="D8" i="7"/>
  <c r="C9" i="7"/>
  <c r="B10" i="7"/>
  <c r="A11" i="7"/>
  <c r="M17" i="7"/>
  <c r="L20" i="7"/>
  <c r="B22" i="7"/>
  <c r="K24" i="7"/>
  <c r="C27" i="7"/>
  <c r="H28" i="7"/>
  <c r="L29" i="7"/>
  <c r="B31" i="7"/>
  <c r="D32" i="7"/>
  <c r="K33" i="7"/>
  <c r="E36" i="7"/>
  <c r="H38" i="7"/>
  <c r="A43" i="7"/>
  <c r="C45" i="7"/>
  <c r="K47" i="7"/>
  <c r="K49" i="7"/>
  <c r="B52" i="7"/>
  <c r="A54" i="7"/>
  <c r="I56" i="7"/>
  <c r="C63" i="7"/>
  <c r="D70" i="7"/>
  <c r="L72" i="7"/>
  <c r="E75" i="7"/>
  <c r="D80" i="7"/>
  <c r="L82" i="7"/>
  <c r="G85" i="7"/>
  <c r="B88" i="7"/>
  <c r="I95" i="7"/>
  <c r="D98" i="7"/>
  <c r="K23" i="7"/>
  <c r="J23" i="7"/>
  <c r="H23" i="7"/>
  <c r="F23" i="7"/>
  <c r="E23" i="7"/>
  <c r="I37" i="7"/>
  <c r="H37" i="7"/>
  <c r="D37" i="7"/>
  <c r="C37" i="7"/>
  <c r="L37" i="7"/>
  <c r="G37" i="7"/>
  <c r="F37" i="7"/>
  <c r="B37" i="7"/>
  <c r="I51" i="7"/>
  <c r="H51" i="7"/>
  <c r="D51" i="7"/>
  <c r="C51" i="7"/>
  <c r="L51" i="7"/>
  <c r="M51" i="7"/>
  <c r="J51" i="7"/>
  <c r="F51" i="7"/>
  <c r="E51" i="7"/>
  <c r="I65" i="7"/>
  <c r="H65" i="7"/>
  <c r="D65" i="7"/>
  <c r="C65" i="7"/>
  <c r="L65" i="7"/>
  <c r="M65" i="7"/>
  <c r="K65" i="7"/>
  <c r="I79" i="7"/>
  <c r="H79" i="7"/>
  <c r="D79" i="7"/>
  <c r="C79" i="7"/>
  <c r="L79" i="7"/>
  <c r="E79" i="7"/>
  <c r="B79" i="7"/>
  <c r="A79" i="7"/>
  <c r="I93" i="7"/>
  <c r="H93" i="7"/>
  <c r="D93" i="7"/>
  <c r="C93" i="7"/>
  <c r="L93" i="7"/>
  <c r="K93" i="7"/>
  <c r="J93" i="7"/>
  <c r="G93" i="7"/>
  <c r="F93" i="7"/>
  <c r="B93" i="7"/>
  <c r="A93" i="7"/>
  <c r="G6" i="7"/>
  <c r="F7" i="7"/>
  <c r="E8" i="7"/>
  <c r="D9" i="7"/>
  <c r="C10" i="7"/>
  <c r="B11" i="7"/>
  <c r="C12" i="7"/>
  <c r="P17" i="7"/>
  <c r="M20" i="7"/>
  <c r="C22" i="7"/>
  <c r="G23" i="7"/>
  <c r="L24" i="7"/>
  <c r="D27" i="7"/>
  <c r="C31" i="7"/>
  <c r="E32" i="7"/>
  <c r="L33" i="7"/>
  <c r="H36" i="7"/>
  <c r="F43" i="7"/>
  <c r="E45" i="7"/>
  <c r="C52" i="7"/>
  <c r="F54" i="7"/>
  <c r="H63" i="7"/>
  <c r="G65" i="7"/>
  <c r="A68" i="7"/>
  <c r="H75" i="7"/>
  <c r="B78" i="7"/>
  <c r="I85" i="7"/>
  <c r="C88" i="7"/>
  <c r="J95" i="7"/>
  <c r="J14" i="7"/>
  <c r="I14" i="7"/>
  <c r="J28" i="7"/>
  <c r="I28" i="7"/>
  <c r="G28" i="7"/>
  <c r="E28" i="7"/>
  <c r="D28" i="7"/>
  <c r="H42" i="7"/>
  <c r="G42" i="7"/>
  <c r="C42" i="7"/>
  <c r="B42" i="7"/>
  <c r="M42" i="7"/>
  <c r="K42" i="7"/>
  <c r="L42" i="7"/>
  <c r="J42" i="7"/>
  <c r="H56" i="7"/>
  <c r="G56" i="7"/>
  <c r="C56" i="7"/>
  <c r="B56" i="7"/>
  <c r="M56" i="7"/>
  <c r="K56" i="7"/>
  <c r="D56" i="7"/>
  <c r="A56" i="7"/>
  <c r="H70" i="7"/>
  <c r="G70" i="7"/>
  <c r="C70" i="7"/>
  <c r="B70" i="7"/>
  <c r="M70" i="7"/>
  <c r="K70" i="7"/>
  <c r="J70" i="7"/>
  <c r="I70" i="7"/>
  <c r="F70" i="7"/>
  <c r="E70" i="7"/>
  <c r="A70" i="7"/>
  <c r="H84" i="7"/>
  <c r="G84" i="7"/>
  <c r="C84" i="7"/>
  <c r="B84" i="7"/>
  <c r="M84" i="7"/>
  <c r="K84" i="7"/>
  <c r="L84" i="7"/>
  <c r="I84" i="7"/>
  <c r="F84" i="7"/>
  <c r="H98" i="7"/>
  <c r="G98" i="7"/>
  <c r="C98" i="7"/>
  <c r="B98" i="7"/>
  <c r="M98" i="7"/>
  <c r="K98" i="7"/>
  <c r="H6" i="7"/>
  <c r="G7" i="7"/>
  <c r="F8" i="7"/>
  <c r="E9" i="7"/>
  <c r="C11" i="7"/>
  <c r="D12" i="7"/>
  <c r="B14" i="7"/>
  <c r="A15" i="7"/>
  <c r="Q17" i="7"/>
  <c r="D22" i="7"/>
  <c r="I23" i="7"/>
  <c r="C26" i="7"/>
  <c r="E27" i="7"/>
  <c r="L28" i="7"/>
  <c r="D31" i="7"/>
  <c r="H32" i="7"/>
  <c r="A35" i="7"/>
  <c r="I36" i="7"/>
  <c r="G43" i="7"/>
  <c r="F45" i="7"/>
  <c r="D52" i="7"/>
  <c r="L56" i="7"/>
  <c r="C59" i="7"/>
  <c r="K63" i="7"/>
  <c r="J65" i="7"/>
  <c r="B68" i="7"/>
  <c r="A73" i="7"/>
  <c r="D78" i="7"/>
  <c r="C83" i="7"/>
  <c r="K85" i="7"/>
  <c r="F88" i="7"/>
  <c r="E93" i="7"/>
  <c r="F98" i="7"/>
  <c r="A101" i="7"/>
  <c r="H10" i="7"/>
  <c r="G10" i="7"/>
  <c r="I19" i="7"/>
  <c r="H19" i="7"/>
  <c r="I33" i="7"/>
  <c r="H33" i="7"/>
  <c r="F33" i="7"/>
  <c r="D33" i="7"/>
  <c r="C33" i="7"/>
  <c r="G47" i="7"/>
  <c r="F47" i="7"/>
  <c r="B47" i="7"/>
  <c r="A47" i="7"/>
  <c r="L47" i="7"/>
  <c r="J47" i="7"/>
  <c r="I47" i="7"/>
  <c r="H47" i="7"/>
  <c r="D47" i="7"/>
  <c r="G61" i="7"/>
  <c r="F61" i="7"/>
  <c r="B61" i="7"/>
  <c r="A61" i="7"/>
  <c r="L61" i="7"/>
  <c r="J61" i="7"/>
  <c r="K61" i="7"/>
  <c r="H61" i="7"/>
  <c r="E61" i="7"/>
  <c r="G75" i="7"/>
  <c r="F75" i="7"/>
  <c r="B75" i="7"/>
  <c r="A75" i="7"/>
  <c r="L75" i="7"/>
  <c r="J75" i="7"/>
  <c r="M75" i="7"/>
  <c r="G89" i="7"/>
  <c r="F89" i="7"/>
  <c r="B89" i="7"/>
  <c r="A89" i="7"/>
  <c r="L89" i="7"/>
  <c r="J89" i="7"/>
  <c r="E89" i="7"/>
  <c r="D89" i="7"/>
  <c r="C89" i="7"/>
  <c r="G103" i="7"/>
  <c r="F103" i="7"/>
  <c r="B103" i="7"/>
  <c r="A103" i="7"/>
  <c r="L103" i="7"/>
  <c r="J103" i="7"/>
  <c r="M103" i="7"/>
  <c r="K103" i="7"/>
  <c r="I103" i="7"/>
  <c r="H103" i="7"/>
  <c r="D103" i="7"/>
  <c r="C103" i="7"/>
  <c r="I6" i="7"/>
  <c r="H7" i="7"/>
  <c r="G8" i="7"/>
  <c r="F9" i="7"/>
  <c r="E10" i="7"/>
  <c r="F11" i="7"/>
  <c r="E12" i="7"/>
  <c r="C14" i="7"/>
  <c r="B15" i="7"/>
  <c r="A16" i="7"/>
  <c r="B17" i="7"/>
  <c r="A18" i="7"/>
  <c r="A21" i="7"/>
  <c r="E22" i="7"/>
  <c r="L23" i="7"/>
  <c r="D26" i="7"/>
  <c r="F27" i="7"/>
  <c r="M28" i="7"/>
  <c r="E31" i="7"/>
  <c r="J32" i="7"/>
  <c r="D35" i="7"/>
  <c r="J36" i="7"/>
  <c r="A39" i="7"/>
  <c r="A41" i="7"/>
  <c r="I43" i="7"/>
  <c r="K45" i="7"/>
  <c r="D50" i="7"/>
  <c r="E59" i="7"/>
  <c r="D61" i="7"/>
  <c r="L63" i="7"/>
  <c r="D68" i="7"/>
  <c r="J73" i="7"/>
  <c r="K75" i="7"/>
  <c r="E78" i="7"/>
  <c r="L83" i="7"/>
  <c r="G88" i="7"/>
  <c r="B91" i="7"/>
  <c r="M93" i="7"/>
  <c r="I98" i="7"/>
  <c r="C101" i="7"/>
  <c r="H24" i="7"/>
  <c r="G24" i="7"/>
  <c r="E24" i="7"/>
  <c r="C24" i="7"/>
  <c r="B24" i="7"/>
  <c r="F38" i="7"/>
  <c r="E38" i="7"/>
  <c r="A38" i="7"/>
  <c r="K38" i="7"/>
  <c r="I38" i="7"/>
  <c r="M38" i="7"/>
  <c r="J38" i="7"/>
  <c r="G38" i="7"/>
  <c r="D38" i="7"/>
  <c r="F52" i="7"/>
  <c r="E52" i="7"/>
  <c r="A52" i="7"/>
  <c r="K52" i="7"/>
  <c r="I52" i="7"/>
  <c r="M52" i="7"/>
  <c r="L52" i="7"/>
  <c r="F66" i="7"/>
  <c r="E66" i="7"/>
  <c r="A66" i="7"/>
  <c r="K66" i="7"/>
  <c r="I66" i="7"/>
  <c r="D66" i="7"/>
  <c r="C66" i="7"/>
  <c r="F80" i="7"/>
  <c r="E80" i="7"/>
  <c r="A80" i="7"/>
  <c r="K80" i="7"/>
  <c r="I80" i="7"/>
  <c r="L80" i="7"/>
  <c r="J80" i="7"/>
  <c r="H80" i="7"/>
  <c r="G80" i="7"/>
  <c r="C80" i="7"/>
  <c r="B80" i="7"/>
  <c r="F94" i="7"/>
  <c r="E94" i="7"/>
  <c r="A94" i="7"/>
  <c r="K94" i="7"/>
  <c r="I94" i="7"/>
  <c r="M94" i="7"/>
  <c r="J94" i="7"/>
  <c r="H94" i="7"/>
  <c r="I7" i="7"/>
  <c r="H8" i="7"/>
  <c r="G9" i="7"/>
  <c r="F10" i="7"/>
  <c r="G11" i="7"/>
  <c r="F12" i="7"/>
  <c r="D14" i="7"/>
  <c r="B16" i="7"/>
  <c r="C17" i="7"/>
  <c r="B18" i="7"/>
  <c r="A19" i="7"/>
  <c r="D21" i="7"/>
  <c r="F22" i="7"/>
  <c r="M23" i="7"/>
  <c r="E26" i="7"/>
  <c r="I27" i="7"/>
  <c r="B30" i="7"/>
  <c r="F31" i="7"/>
  <c r="M32" i="7"/>
  <c r="E35" i="7"/>
  <c r="M36" i="7"/>
  <c r="D39" i="7"/>
  <c r="G41" i="7"/>
  <c r="A48" i="7"/>
  <c r="I50" i="7"/>
  <c r="H52" i="7"/>
  <c r="F59" i="7"/>
  <c r="I61" i="7"/>
  <c r="B66" i="7"/>
  <c r="F68" i="7"/>
  <c r="K73" i="7"/>
  <c r="H78" i="7"/>
  <c r="A81" i="7"/>
  <c r="M83" i="7"/>
  <c r="H88" i="7"/>
  <c r="C91" i="7"/>
  <c r="B96" i="7"/>
  <c r="J98" i="7"/>
  <c r="E101" i="7"/>
  <c r="F6" i="7"/>
  <c r="E6" i="7"/>
  <c r="G15" i="7"/>
  <c r="F15" i="7"/>
  <c r="G29" i="7"/>
  <c r="F29" i="7"/>
  <c r="D29" i="7"/>
  <c r="B29" i="7"/>
  <c r="A29" i="7"/>
  <c r="E43" i="7"/>
  <c r="D43" i="7"/>
  <c r="M43" i="7"/>
  <c r="J43" i="7"/>
  <c r="H43" i="7"/>
  <c r="C43" i="7"/>
  <c r="B43" i="7"/>
  <c r="E57" i="7"/>
  <c r="D57" i="7"/>
  <c r="M57" i="7"/>
  <c r="J57" i="7"/>
  <c r="H57" i="7"/>
  <c r="K57" i="7"/>
  <c r="I57" i="7"/>
  <c r="F57" i="7"/>
  <c r="B57" i="7"/>
  <c r="A57" i="7"/>
  <c r="E71" i="7"/>
  <c r="D71" i="7"/>
  <c r="M71" i="7"/>
  <c r="J71" i="7"/>
  <c r="H71" i="7"/>
  <c r="L71" i="7"/>
  <c r="I71" i="7"/>
  <c r="G71" i="7"/>
  <c r="E85" i="7"/>
  <c r="D85" i="7"/>
  <c r="M85" i="7"/>
  <c r="J85" i="7"/>
  <c r="H85" i="7"/>
  <c r="A85" i="7"/>
  <c r="E99" i="7"/>
  <c r="D99" i="7"/>
  <c r="M99" i="7"/>
  <c r="J99" i="7"/>
  <c r="H99" i="7"/>
  <c r="G99" i="7"/>
  <c r="F99" i="7"/>
  <c r="C99" i="7"/>
  <c r="B99" i="7"/>
  <c r="K6" i="7"/>
  <c r="J7" i="7"/>
  <c r="I8" i="7"/>
  <c r="H9" i="7"/>
  <c r="I10" i="7"/>
  <c r="G12" i="7"/>
  <c r="E14" i="7"/>
  <c r="D15" i="7"/>
  <c r="E16" i="7"/>
  <c r="D17" i="7"/>
  <c r="C18" i="7"/>
  <c r="B19" i="7"/>
  <c r="E21" i="7"/>
  <c r="G22" i="7"/>
  <c r="A25" i="7"/>
  <c r="F26" i="7"/>
  <c r="K27" i="7"/>
  <c r="E30" i="7"/>
  <c r="G31" i="7"/>
  <c r="F35" i="7"/>
  <c r="A37" i="7"/>
  <c r="E39" i="7"/>
  <c r="I41" i="7"/>
  <c r="L43" i="7"/>
  <c r="C46" i="7"/>
  <c r="J50" i="7"/>
  <c r="J52" i="7"/>
  <c r="A55" i="7"/>
  <c r="C57" i="7"/>
  <c r="I59" i="7"/>
  <c r="M61" i="7"/>
  <c r="G66" i="7"/>
  <c r="G68" i="7"/>
  <c r="B71" i="7"/>
  <c r="I78" i="7"/>
  <c r="D81" i="7"/>
  <c r="I86" i="7"/>
  <c r="K88" i="7"/>
  <c r="E91" i="7"/>
  <c r="K96" i="7"/>
  <c r="L98" i="7"/>
  <c r="F101" i="7"/>
  <c r="E11" i="7"/>
  <c r="D11" i="7"/>
  <c r="F20" i="7"/>
  <c r="E20" i="7"/>
  <c r="F34" i="7"/>
  <c r="E34" i="7"/>
  <c r="C34" i="7"/>
  <c r="A34" i="7"/>
  <c r="D48" i="7"/>
  <c r="C48" i="7"/>
  <c r="M48" i="7"/>
  <c r="L48" i="7"/>
  <c r="I48" i="7"/>
  <c r="G48" i="7"/>
  <c r="K48" i="7"/>
  <c r="H48" i="7"/>
  <c r="F48" i="7"/>
  <c r="D62" i="7"/>
  <c r="C62" i="7"/>
  <c r="M62" i="7"/>
  <c r="L62" i="7"/>
  <c r="I62" i="7"/>
  <c r="G62" i="7"/>
  <c r="D76" i="7"/>
  <c r="C76" i="7"/>
  <c r="M76" i="7"/>
  <c r="L76" i="7"/>
  <c r="I76" i="7"/>
  <c r="G76" i="7"/>
  <c r="F76" i="7"/>
  <c r="E76" i="7"/>
  <c r="B76" i="7"/>
  <c r="A76" i="7"/>
  <c r="D90" i="7"/>
  <c r="C90" i="7"/>
  <c r="M90" i="7"/>
  <c r="L90" i="7"/>
  <c r="I90" i="7"/>
  <c r="G90" i="7"/>
  <c r="K90" i="7"/>
  <c r="J90" i="7"/>
  <c r="H90" i="7"/>
  <c r="E90" i="7"/>
  <c r="B90" i="7"/>
  <c r="D104" i="7"/>
  <c r="C104" i="7"/>
  <c r="M104" i="7"/>
  <c r="L104" i="7"/>
  <c r="I104" i="7"/>
  <c r="G104" i="7"/>
  <c r="K104" i="7"/>
  <c r="J104" i="7"/>
  <c r="L6" i="7"/>
  <c r="K7" i="7"/>
  <c r="J8" i="7"/>
  <c r="I9" i="7"/>
  <c r="J10" i="7"/>
  <c r="I11" i="7"/>
  <c r="H12" i="7"/>
  <c r="F14" i="7"/>
  <c r="E15" i="7"/>
  <c r="F16" i="7"/>
  <c r="E17" i="7"/>
  <c r="D18" i="7"/>
  <c r="C19" i="7"/>
  <c r="B20" i="7"/>
  <c r="F21" i="7"/>
  <c r="J22" i="7"/>
  <c r="G26" i="7"/>
  <c r="F30" i="7"/>
  <c r="H31" i="7"/>
  <c r="B34" i="7"/>
  <c r="G35" i="7"/>
  <c r="E37" i="7"/>
  <c r="F46" i="7"/>
  <c r="E48" i="7"/>
  <c r="M50" i="7"/>
  <c r="C55" i="7"/>
  <c r="G57" i="7"/>
  <c r="J59" i="7"/>
  <c r="A62" i="7"/>
  <c r="H66" i="7"/>
  <c r="C71" i="7"/>
  <c r="J76" i="7"/>
  <c r="L86" i="7"/>
  <c r="G91" i="7"/>
  <c r="B94" i="7"/>
  <c r="A99" i="7"/>
  <c r="I101" i="7"/>
  <c r="B104" i="7"/>
  <c r="E25" i="7"/>
  <c r="D25" i="7"/>
  <c r="B25" i="7"/>
  <c r="M25" i="7"/>
  <c r="C39" i="7"/>
  <c r="B39" i="7"/>
  <c r="L39" i="7"/>
  <c r="K39" i="7"/>
  <c r="H39" i="7"/>
  <c r="F39" i="7"/>
  <c r="M39" i="7"/>
  <c r="C53" i="7"/>
  <c r="B53" i="7"/>
  <c r="L53" i="7"/>
  <c r="K53" i="7"/>
  <c r="H53" i="7"/>
  <c r="F53" i="7"/>
  <c r="E53" i="7"/>
  <c r="D53" i="7"/>
  <c r="C67" i="7"/>
  <c r="B67" i="7"/>
  <c r="L67" i="7"/>
  <c r="K67" i="7"/>
  <c r="H67" i="7"/>
  <c r="F67" i="7"/>
  <c r="M67" i="7"/>
  <c r="J67" i="7"/>
  <c r="I67" i="7"/>
  <c r="G67" i="7"/>
  <c r="D67" i="7"/>
  <c r="A67" i="7"/>
  <c r="C81" i="7"/>
  <c r="B81" i="7"/>
  <c r="L81" i="7"/>
  <c r="K81" i="7"/>
  <c r="H81" i="7"/>
  <c r="F81" i="7"/>
  <c r="J81" i="7"/>
  <c r="I81" i="7"/>
  <c r="C95" i="7"/>
  <c r="B95" i="7"/>
  <c r="L95" i="7"/>
  <c r="K95" i="7"/>
  <c r="H95" i="7"/>
  <c r="F95" i="7"/>
  <c r="A95" i="7"/>
  <c r="M6" i="7"/>
  <c r="K8" i="7"/>
  <c r="L9" i="7"/>
  <c r="K10" i="7"/>
  <c r="J11" i="7"/>
  <c r="I12" i="7"/>
  <c r="G14" i="7"/>
  <c r="H15" i="7"/>
  <c r="F17" i="7"/>
  <c r="E18" i="7"/>
  <c r="D19" i="7"/>
  <c r="C20" i="7"/>
  <c r="G21" i="7"/>
  <c r="L22" i="7"/>
  <c r="F25" i="7"/>
  <c r="H26" i="7"/>
  <c r="K31" i="7"/>
  <c r="D34" i="7"/>
  <c r="H35" i="7"/>
  <c r="J37" i="7"/>
  <c r="I39" i="7"/>
  <c r="G46" i="7"/>
  <c r="J48" i="7"/>
  <c r="A53" i="7"/>
  <c r="D55" i="7"/>
  <c r="L57" i="7"/>
  <c r="K59" i="7"/>
  <c r="B62" i="7"/>
  <c r="B64" i="7"/>
  <c r="J66" i="7"/>
  <c r="D69" i="7"/>
  <c r="F71" i="7"/>
  <c r="K76" i="7"/>
  <c r="F79" i="7"/>
  <c r="G81" i="7"/>
  <c r="A84" i="7"/>
  <c r="H89" i="7"/>
  <c r="H91" i="7"/>
  <c r="C94" i="7"/>
  <c r="I99" i="7"/>
  <c r="J101" i="7"/>
  <c r="E104" i="7"/>
  <c r="C7" i="7"/>
  <c r="B7" i="7"/>
  <c r="D16" i="7"/>
  <c r="C16" i="7"/>
  <c r="D30" i="7"/>
  <c r="C30" i="7"/>
  <c r="A30" i="7"/>
  <c r="M30" i="7"/>
  <c r="L30" i="7"/>
  <c r="B44" i="7"/>
  <c r="A44" i="7"/>
  <c r="K44" i="7"/>
  <c r="J44" i="7"/>
  <c r="G44" i="7"/>
  <c r="E44" i="7"/>
  <c r="L44" i="7"/>
  <c r="I44" i="7"/>
  <c r="F44" i="7"/>
  <c r="C44" i="7"/>
  <c r="B58" i="7"/>
  <c r="A58" i="7"/>
  <c r="K58" i="7"/>
  <c r="J58" i="7"/>
  <c r="G58" i="7"/>
  <c r="E58" i="7"/>
  <c r="M58" i="7"/>
  <c r="I58" i="7"/>
  <c r="H58" i="7"/>
  <c r="B72" i="7"/>
  <c r="A72" i="7"/>
  <c r="K72" i="7"/>
  <c r="J72" i="7"/>
  <c r="G72" i="7"/>
  <c r="E72" i="7"/>
  <c r="B86" i="7"/>
  <c r="A86" i="7"/>
  <c r="K86" i="7"/>
  <c r="J86" i="7"/>
  <c r="G86" i="7"/>
  <c r="E86" i="7"/>
  <c r="H86" i="7"/>
  <c r="F86" i="7"/>
  <c r="D86" i="7"/>
  <c r="C86" i="7"/>
  <c r="B100" i="7"/>
  <c r="A100" i="7"/>
  <c r="K100" i="7"/>
  <c r="J100" i="7"/>
  <c r="G100" i="7"/>
  <c r="E100" i="7"/>
  <c r="M100" i="7"/>
  <c r="L100" i="7"/>
  <c r="I100" i="7"/>
  <c r="F100" i="7"/>
  <c r="D100" i="7"/>
  <c r="M7" i="7"/>
  <c r="L8" i="7"/>
  <c r="M9" i="7"/>
  <c r="L10" i="7"/>
  <c r="K11" i="7"/>
  <c r="H14" i="7"/>
  <c r="I15" i="7"/>
  <c r="H16" i="7"/>
  <c r="G17" i="7"/>
  <c r="F18" i="7"/>
  <c r="E19" i="7"/>
  <c r="D20" i="7"/>
  <c r="G25" i="7"/>
  <c r="I26" i="7"/>
  <c r="C29" i="7"/>
  <c r="H30" i="7"/>
  <c r="M31" i="7"/>
  <c r="G34" i="7"/>
  <c r="K37" i="7"/>
  <c r="J39" i="7"/>
  <c r="A42" i="7"/>
  <c r="D44" i="7"/>
  <c r="H46" i="7"/>
  <c r="G53" i="7"/>
  <c r="G55" i="7"/>
  <c r="E62" i="7"/>
  <c r="H64" i="7"/>
  <c r="L66" i="7"/>
  <c r="G69" i="7"/>
  <c r="K71" i="7"/>
  <c r="B74" i="7"/>
  <c r="G79" i="7"/>
  <c r="M81" i="7"/>
  <c r="D84" i="7"/>
  <c r="I89" i="7"/>
  <c r="D94" i="7"/>
  <c r="K99" i="7"/>
  <c r="F104" i="7"/>
  <c r="B12" i="7"/>
  <c r="A12" i="7"/>
  <c r="C21" i="7"/>
  <c r="B21" i="7"/>
  <c r="L21" i="7"/>
  <c r="K21" i="7"/>
  <c r="C35" i="7"/>
  <c r="B35" i="7"/>
  <c r="L35" i="7"/>
  <c r="K35" i="7"/>
  <c r="A49" i="7"/>
  <c r="J49" i="7"/>
  <c r="I49" i="7"/>
  <c r="F49" i="7"/>
  <c r="D49" i="7"/>
  <c r="M49" i="7"/>
  <c r="A63" i="7"/>
  <c r="J63" i="7"/>
  <c r="I63" i="7"/>
  <c r="F63" i="7"/>
  <c r="D63" i="7"/>
  <c r="G63" i="7"/>
  <c r="E63" i="7"/>
  <c r="B63" i="7"/>
  <c r="A77" i="7"/>
  <c r="J77" i="7"/>
  <c r="I77" i="7"/>
  <c r="F77" i="7"/>
  <c r="D77" i="7"/>
  <c r="M77" i="7"/>
  <c r="L77" i="7"/>
  <c r="K77" i="7"/>
  <c r="H77" i="7"/>
  <c r="E77" i="7"/>
  <c r="C77" i="7"/>
  <c r="A91" i="7"/>
  <c r="J91" i="7"/>
  <c r="I91" i="7"/>
  <c r="F91" i="7"/>
  <c r="D91" i="7"/>
  <c r="L91" i="7"/>
  <c r="K91" i="7"/>
  <c r="A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M10" i="7"/>
  <c r="L11" i="7"/>
  <c r="K12" i="7"/>
  <c r="K14" i="7"/>
  <c r="J15" i="7"/>
  <c r="I16" i="7"/>
  <c r="H17" i="7"/>
  <c r="G18" i="7"/>
  <c r="F19" i="7"/>
  <c r="G20" i="7"/>
  <c r="I21" i="7"/>
  <c r="A24" i="7"/>
  <c r="H25" i="7"/>
  <c r="E29" i="7"/>
  <c r="I30" i="7"/>
  <c r="A33" i="7"/>
  <c r="H34" i="7"/>
  <c r="J35" i="7"/>
  <c r="M37" i="7"/>
  <c r="D42" i="7"/>
  <c r="H44" i="7"/>
  <c r="K46" i="7"/>
  <c r="B49" i="7"/>
  <c r="A51" i="7"/>
  <c r="I53" i="7"/>
  <c r="H55" i="7"/>
  <c r="B60" i="7"/>
  <c r="F62" i="7"/>
  <c r="J64" i="7"/>
  <c r="M66" i="7"/>
  <c r="H69" i="7"/>
  <c r="C72" i="7"/>
  <c r="C74" i="7"/>
  <c r="J79" i="7"/>
  <c r="E84" i="7"/>
  <c r="K89" i="7"/>
  <c r="E92" i="7"/>
  <c r="G94" i="7"/>
  <c r="A97" i="7"/>
  <c r="L99" i="7"/>
  <c r="G102" i="7"/>
  <c r="H104" i="7"/>
  <c r="B26" i="7"/>
  <c r="A26" i="7"/>
  <c r="M26" i="7"/>
  <c r="K26" i="7"/>
  <c r="J26" i="7"/>
  <c r="M40" i="7"/>
  <c r="I40" i="7"/>
  <c r="H40" i="7"/>
  <c r="E40" i="7"/>
  <c r="C40" i="7"/>
  <c r="F40" i="7"/>
  <c r="D40" i="7"/>
  <c r="A40" i="7"/>
  <c r="M54" i="7"/>
  <c r="I54" i="7"/>
  <c r="H54" i="7"/>
  <c r="E54" i="7"/>
  <c r="C54" i="7"/>
  <c r="L54" i="7"/>
  <c r="K54" i="7"/>
  <c r="G54" i="7"/>
  <c r="D54" i="7"/>
  <c r="B54" i="7"/>
  <c r="M68" i="7"/>
  <c r="I68" i="7"/>
  <c r="H68" i="7"/>
  <c r="E68" i="7"/>
  <c r="C68" i="7"/>
  <c r="K68" i="7"/>
  <c r="J68" i="7"/>
  <c r="M82" i="7"/>
  <c r="I82" i="7"/>
  <c r="H82" i="7"/>
  <c r="E82" i="7"/>
  <c r="C82" i="7"/>
  <c r="B82" i="7"/>
  <c r="A82" i="7"/>
  <c r="M96" i="7"/>
  <c r="I96" i="7"/>
  <c r="H96" i="7"/>
  <c r="E96" i="7"/>
  <c r="C96" i="7"/>
  <c r="J96" i="7"/>
  <c r="G96" i="7"/>
  <c r="F96" i="7"/>
  <c r="D96" i="7"/>
  <c r="A96" i="7"/>
  <c r="M11" i="7"/>
  <c r="L12" i="7"/>
  <c r="L14" i="7"/>
  <c r="K15" i="7"/>
  <c r="J16" i="7"/>
  <c r="I17" i="7"/>
  <c r="H18" i="7"/>
  <c r="G19" i="7"/>
  <c r="H20" i="7"/>
  <c r="J21" i="7"/>
  <c r="D24" i="7"/>
  <c r="I25" i="7"/>
  <c r="A28" i="7"/>
  <c r="H29" i="7"/>
  <c r="J30" i="7"/>
  <c r="B33" i="7"/>
  <c r="I34" i="7"/>
  <c r="M35" i="7"/>
  <c r="B40" i="7"/>
  <c r="E42" i="7"/>
  <c r="M44" i="7"/>
  <c r="L46" i="7"/>
  <c r="C49" i="7"/>
  <c r="B51" i="7"/>
  <c r="J53" i="7"/>
  <c r="M55" i="7"/>
  <c r="F60" i="7"/>
  <c r="H62" i="7"/>
  <c r="I69" i="7"/>
  <c r="D72" i="7"/>
  <c r="H74" i="7"/>
  <c r="K79" i="7"/>
  <c r="F82" i="7"/>
  <c r="J84" i="7"/>
  <c r="A87" i="7"/>
  <c r="M89" i="7"/>
  <c r="H92" i="7"/>
  <c r="L94" i="7"/>
  <c r="C97" i="7"/>
  <c r="H102" i="7"/>
  <c r="Q62" i="7" l="1"/>
  <c r="O62" i="7"/>
  <c r="N62" i="7"/>
  <c r="P62" i="7"/>
  <c r="P75" i="7"/>
  <c r="O75" i="7"/>
  <c r="N75" i="7"/>
  <c r="Q75" i="7"/>
  <c r="Q79" i="7"/>
  <c r="N79" i="7"/>
  <c r="P79" i="7"/>
  <c r="O79" i="7"/>
  <c r="N10" i="7"/>
  <c r="Q10" i="7"/>
  <c r="P10" i="7"/>
  <c r="O10" i="7"/>
  <c r="N8" i="7"/>
  <c r="P8" i="7"/>
  <c r="O8" i="7"/>
  <c r="Q8" i="7"/>
  <c r="Q13" i="7"/>
  <c r="P13" i="7"/>
  <c r="O13" i="7"/>
  <c r="N13" i="7"/>
  <c r="O52" i="7"/>
  <c r="N52" i="7"/>
  <c r="Q52" i="7"/>
  <c r="P52" i="7"/>
  <c r="Q95" i="7"/>
  <c r="P95" i="7"/>
  <c r="O95" i="7"/>
  <c r="N95" i="7"/>
  <c r="Q15" i="7"/>
  <c r="P15" i="7"/>
  <c r="O15" i="7"/>
  <c r="N15" i="7"/>
  <c r="Q90" i="7"/>
  <c r="N90" i="7"/>
  <c r="P90" i="7"/>
  <c r="O90" i="7"/>
  <c r="Q7" i="7"/>
  <c r="P7" i="7"/>
  <c r="O7" i="7"/>
  <c r="N7" i="7"/>
  <c r="P6" i="7"/>
  <c r="O6" i="7"/>
  <c r="N6" i="7"/>
  <c r="Q6" i="7"/>
  <c r="P59" i="7"/>
  <c r="Q59" i="7"/>
  <c r="O59" i="7"/>
  <c r="N59" i="7"/>
  <c r="O63" i="7"/>
  <c r="N63" i="7"/>
  <c r="Q63" i="7"/>
  <c r="P63" i="7"/>
  <c r="N96" i="7"/>
  <c r="Q96" i="7"/>
  <c r="P96" i="7"/>
  <c r="O96" i="7"/>
  <c r="Q67" i="7"/>
  <c r="P67" i="7"/>
  <c r="O67" i="7"/>
  <c r="N67" i="7"/>
  <c r="Q65" i="7"/>
  <c r="N65" i="7"/>
  <c r="P65" i="7"/>
  <c r="O65" i="7"/>
  <c r="O80" i="7"/>
  <c r="N80" i="7"/>
  <c r="Q80" i="7"/>
  <c r="P80" i="7"/>
  <c r="Q93" i="7"/>
  <c r="N93" i="7"/>
  <c r="P93" i="7"/>
  <c r="O93" i="7"/>
  <c r="P44" i="7"/>
  <c r="O44" i="7"/>
  <c r="Q44" i="7"/>
  <c r="N44" i="7"/>
  <c r="Q19" i="7"/>
  <c r="P19" i="7"/>
  <c r="O19" i="7"/>
  <c r="N19" i="7"/>
  <c r="P47" i="7"/>
  <c r="O47" i="7"/>
  <c r="Q47" i="7"/>
  <c r="N47" i="7"/>
  <c r="Q50" i="7"/>
  <c r="O50" i="7"/>
  <c r="P50" i="7"/>
  <c r="N50" i="7"/>
  <c r="Q23" i="7"/>
  <c r="P23" i="7"/>
  <c r="O23" i="7"/>
  <c r="N23" i="7"/>
  <c r="Q28" i="7"/>
  <c r="P28" i="7"/>
  <c r="O28" i="7"/>
  <c r="N28" i="7"/>
  <c r="Q34" i="7"/>
  <c r="O34" i="7"/>
  <c r="N34" i="7"/>
  <c r="P34" i="7"/>
  <c r="P101" i="7"/>
  <c r="Q101" i="7"/>
  <c r="N101" i="7"/>
  <c r="O101" i="7"/>
  <c r="P12" i="7"/>
  <c r="O12" i="7"/>
  <c r="Q12" i="7"/>
  <c r="N12" i="7"/>
  <c r="Q37" i="7"/>
  <c r="N37" i="7"/>
  <c r="O37" i="7"/>
  <c r="P37" i="7"/>
  <c r="O60" i="7"/>
  <c r="Q60" i="7"/>
  <c r="P60" i="7"/>
  <c r="N60" i="7"/>
  <c r="P26" i="7"/>
  <c r="O26" i="7"/>
  <c r="N26" i="7"/>
  <c r="Q26" i="7"/>
  <c r="Q33" i="7"/>
  <c r="P33" i="7"/>
  <c r="O33" i="7"/>
  <c r="N33" i="7"/>
  <c r="Q105" i="7"/>
  <c r="P105" i="7"/>
  <c r="O105" i="7"/>
  <c r="N105" i="7"/>
  <c r="Q53" i="7"/>
  <c r="P53" i="7"/>
  <c r="O53" i="7"/>
  <c r="N53" i="7"/>
  <c r="Q48" i="7"/>
  <c r="P48" i="7"/>
  <c r="O48" i="7"/>
  <c r="N48" i="7"/>
  <c r="Q21" i="7"/>
  <c r="P21" i="7"/>
  <c r="N21" i="7"/>
  <c r="O21" i="7"/>
  <c r="Q92" i="7"/>
  <c r="O92" i="7"/>
  <c r="P92" i="7"/>
  <c r="N92" i="7"/>
  <c r="O31" i="7"/>
  <c r="N31" i="7"/>
  <c r="Q31" i="7"/>
  <c r="P31" i="7"/>
  <c r="Q76" i="7"/>
  <c r="P76" i="7"/>
  <c r="O76" i="7"/>
  <c r="N76" i="7"/>
  <c r="N85" i="7"/>
  <c r="P85" i="7"/>
  <c r="O85" i="7"/>
  <c r="Q85" i="7"/>
  <c r="N57" i="7"/>
  <c r="Q57" i="7"/>
  <c r="P57" i="7"/>
  <c r="O57" i="7"/>
  <c r="O94" i="7"/>
  <c r="N94" i="7"/>
  <c r="Q94" i="7"/>
  <c r="P94" i="7"/>
  <c r="Q18" i="7"/>
  <c r="P18" i="7"/>
  <c r="O18" i="7"/>
  <c r="N18" i="7"/>
  <c r="Q35" i="7"/>
  <c r="P35" i="7"/>
  <c r="N35" i="7"/>
  <c r="O35" i="7"/>
  <c r="N54" i="7"/>
  <c r="Q54" i="7"/>
  <c r="P54" i="7"/>
  <c r="O54" i="7"/>
  <c r="O102" i="7"/>
  <c r="Q102" i="7"/>
  <c r="P102" i="7"/>
  <c r="N102" i="7"/>
  <c r="P86" i="7"/>
  <c r="O86" i="7"/>
  <c r="Q86" i="7"/>
  <c r="N86" i="7"/>
  <c r="Q84" i="7"/>
  <c r="P84" i="7"/>
  <c r="O84" i="7"/>
  <c r="N84" i="7"/>
  <c r="N99" i="7"/>
  <c r="O99" i="7"/>
  <c r="Q99" i="7"/>
  <c r="P99" i="7"/>
  <c r="P89" i="7"/>
  <c r="O89" i="7"/>
  <c r="Q89" i="7"/>
  <c r="N89" i="7"/>
  <c r="Q56" i="7"/>
  <c r="P56" i="7"/>
  <c r="O56" i="7"/>
  <c r="N56" i="7"/>
  <c r="N68" i="7"/>
  <c r="Q68" i="7"/>
  <c r="P68" i="7"/>
  <c r="O68" i="7"/>
  <c r="N40" i="7"/>
  <c r="Q40" i="7"/>
  <c r="P40" i="7"/>
  <c r="O40" i="7"/>
  <c r="P58" i="7"/>
  <c r="O58" i="7"/>
  <c r="Q58" i="7"/>
  <c r="N58" i="7"/>
  <c r="Q30" i="7"/>
  <c r="O30" i="7"/>
  <c r="P30" i="7"/>
  <c r="N30" i="7"/>
  <c r="P41" i="7"/>
  <c r="N41" i="7"/>
  <c r="Q41" i="7"/>
  <c r="O41" i="7"/>
  <c r="Q16" i="7"/>
  <c r="P16" i="7"/>
  <c r="O16" i="7"/>
  <c r="N16" i="7"/>
  <c r="P87" i="7"/>
  <c r="O87" i="7"/>
  <c r="N87" i="7"/>
  <c r="Q87" i="7"/>
  <c r="Q24" i="7"/>
  <c r="P24" i="7"/>
  <c r="O24" i="7"/>
  <c r="N24" i="7"/>
  <c r="O77" i="7"/>
  <c r="N77" i="7"/>
  <c r="Q77" i="7"/>
  <c r="P77" i="7"/>
  <c r="O49" i="7"/>
  <c r="N49" i="7"/>
  <c r="P49" i="7"/>
  <c r="Q49" i="7"/>
  <c r="Q42" i="7"/>
  <c r="P42" i="7"/>
  <c r="O42" i="7"/>
  <c r="N42" i="7"/>
  <c r="P29" i="7"/>
  <c r="O29" i="7"/>
  <c r="Q29" i="7"/>
  <c r="N29" i="7"/>
  <c r="Q39" i="7"/>
  <c r="P39" i="7"/>
  <c r="N39" i="7"/>
  <c r="O39" i="7"/>
  <c r="P61" i="7"/>
  <c r="O61" i="7"/>
  <c r="Q61" i="7"/>
  <c r="N61" i="7"/>
  <c r="O74" i="7"/>
  <c r="P74" i="7"/>
  <c r="N74" i="7"/>
  <c r="Q74" i="7"/>
  <c r="N22" i="7"/>
  <c r="Q22" i="7"/>
  <c r="P22" i="7"/>
  <c r="O22" i="7"/>
  <c r="P69" i="7"/>
  <c r="N69" i="7"/>
  <c r="Q69" i="7"/>
  <c r="O69" i="7"/>
  <c r="Q64" i="7"/>
  <c r="O64" i="7"/>
  <c r="N64" i="7"/>
  <c r="P64" i="7"/>
  <c r="P97" i="7"/>
  <c r="N97" i="7"/>
  <c r="Q97" i="7"/>
  <c r="O97" i="7"/>
  <c r="P25" i="7"/>
  <c r="N25" i="7"/>
  <c r="Q25" i="7"/>
  <c r="O25" i="7"/>
  <c r="Q81" i="7"/>
  <c r="P81" i="7"/>
  <c r="O81" i="7"/>
  <c r="N81" i="7"/>
  <c r="O66" i="7"/>
  <c r="N66" i="7"/>
  <c r="P66" i="7"/>
  <c r="Q66" i="7"/>
  <c r="P73" i="7"/>
  <c r="Q73" i="7"/>
  <c r="O73" i="7"/>
  <c r="N73" i="7"/>
  <c r="Q70" i="7"/>
  <c r="P70" i="7"/>
  <c r="O70" i="7"/>
  <c r="N70" i="7"/>
  <c r="Q11" i="7"/>
  <c r="P11" i="7"/>
  <c r="O11" i="7"/>
  <c r="N11" i="7"/>
  <c r="B7" i="1"/>
  <c r="B6" i="1"/>
  <c r="B16" i="1"/>
  <c r="Q36" i="7"/>
  <c r="O36" i="7"/>
  <c r="P36" i="7"/>
  <c r="N36" i="7"/>
  <c r="Q51" i="7"/>
  <c r="N51" i="7"/>
  <c r="O51" i="7"/>
  <c r="P51" i="7"/>
  <c r="P100" i="7"/>
  <c r="O100" i="7"/>
  <c r="N100" i="7"/>
  <c r="Q100" i="7"/>
  <c r="P55" i="7"/>
  <c r="N55" i="7"/>
  <c r="O55" i="7"/>
  <c r="Q55" i="7"/>
  <c r="N43" i="7"/>
  <c r="Q43" i="7"/>
  <c r="P43" i="7"/>
  <c r="O43" i="7"/>
  <c r="O46" i="7"/>
  <c r="Q46" i="7"/>
  <c r="P46" i="7"/>
  <c r="N46" i="7"/>
  <c r="P45" i="7"/>
  <c r="Q45" i="7"/>
  <c r="N45" i="7"/>
  <c r="O45" i="7"/>
  <c r="N82" i="7"/>
  <c r="Q82" i="7"/>
  <c r="P82" i="7"/>
  <c r="O82" i="7"/>
  <c r="O91" i="7"/>
  <c r="N91" i="7"/>
  <c r="Q91" i="7"/>
  <c r="P91" i="7"/>
  <c r="O38" i="7"/>
  <c r="N38" i="7"/>
  <c r="P38" i="7"/>
  <c r="Q38" i="7"/>
  <c r="P103" i="7"/>
  <c r="O103" i="7"/>
  <c r="Q103" i="7"/>
  <c r="N103" i="7"/>
  <c r="Q98" i="7"/>
  <c r="P98" i="7"/>
  <c r="O98" i="7"/>
  <c r="N98" i="7"/>
  <c r="Q32" i="7"/>
  <c r="P32" i="7"/>
  <c r="O32" i="7"/>
  <c r="N32" i="7"/>
  <c r="P72" i="7"/>
  <c r="O72" i="7"/>
  <c r="Q72" i="7"/>
  <c r="N72" i="7"/>
  <c r="O88" i="7"/>
  <c r="Q88" i="7"/>
  <c r="N88" i="7"/>
  <c r="P88" i="7"/>
  <c r="P83" i="7"/>
  <c r="N83" i="7"/>
  <c r="Q83" i="7"/>
  <c r="O83" i="7"/>
  <c r="O9" i="7"/>
  <c r="N9" i="7"/>
  <c r="Q9" i="7"/>
  <c r="P9" i="7"/>
  <c r="Q78" i="7"/>
  <c r="O78" i="7"/>
  <c r="P78" i="7"/>
  <c r="N78" i="7"/>
  <c r="F11" i="1" l="1"/>
  <c r="B8" i="1"/>
  <c r="B19" i="1" s="1"/>
  <c r="F7" i="1"/>
  <c r="F10" i="1"/>
  <c r="F6" i="1"/>
  <c r="F9" i="1"/>
  <c r="B18" i="1"/>
  <c r="F12" i="1"/>
  <c r="F8" i="1"/>
  <c r="E11" i="1"/>
  <c r="E7" i="1"/>
  <c r="E10" i="1"/>
  <c r="E6" i="1"/>
  <c r="E9" i="1"/>
  <c r="B17" i="1"/>
  <c r="E12" i="1"/>
  <c r="E8" i="1"/>
</calcChain>
</file>

<file path=xl/sharedStrings.xml><?xml version="1.0" encoding="utf-8"?>
<sst xmlns="http://schemas.openxmlformats.org/spreadsheetml/2006/main" count="324" uniqueCount="208">
  <si>
    <t>Powerplants One estimate workbook</t>
  </si>
  <si>
    <t>r01 · Synthetic horticulture example · AUD excluding tax; tax is not calculated.</t>
  </si>
  <si>
    <t>Estimate measure</t>
  </si>
  <si>
    <t>Amount</t>
  </si>
  <si>
    <t>Section</t>
  </si>
  <si>
    <t>Cost</t>
  </si>
  <si>
    <t>Sell</t>
  </si>
  <si>
    <t>All-line cost</t>
  </si>
  <si>
    <t>All-line sell</t>
  </si>
  <si>
    <t>Included quote sell</t>
  </si>
  <si>
    <t>Line count</t>
  </si>
  <si>
    <t>Lines missing input</t>
  </si>
  <si>
    <t>control</t>
  </si>
  <si>
    <t>value</t>
  </si>
  <si>
    <t>Before you upload</t>
  </si>
  <si>
    <t>line_count</t>
  </si>
  <si>
    <t>Blank totals mean required values are missing.</t>
  </si>
  <si>
    <t>workbook_cost</t>
  </si>
  <si>
    <t>Check every populated row, including hidden rows.</t>
  </si>
  <si>
    <t>workbook_sell</t>
  </si>
  <si>
    <t>This template prepares 100 lines and seven sections.</t>
  </si>
  <si>
    <t>included_sell</t>
  </si>
  <si>
    <t>Extend the summary and export together if redesigned.</t>
  </si>
  <si>
    <t>1. Use Save As for each workbook revision. Keep line references stable.</t>
  </si>
  <si>
    <t>2. Replace the fictional project, scope, sources and sample lines.</t>
  </si>
  <si>
    <t>3. Enter costs and sell rates in amber cells. Grey cells contain formulas.</t>
  </si>
  <si>
    <t>4. Recalculate in Excel, review outputs and record the reviewer on Project.</t>
  </si>
  <si>
    <t>5. Upload, compare totals and resolve issues before creating a draft.</t>
  </si>
  <si>
    <t>The 100 prepared rows match the first proposed pilot limit.</t>
  </si>
  <si>
    <t>Blank is unknown. Zero is a deliberate numeric value. Allowance is explicit.</t>
  </si>
  <si>
    <t>Keep the 100 prepared rows. Do not sort or edit the calculated export.</t>
  </si>
  <si>
    <t>Include controls price. Print controls customer presentation only.</t>
  </si>
  <si>
    <t>Workbook totals are control values, not proof of engineering adequacy.</t>
  </si>
  <si>
    <t>Formula cells are visually identified but not locked in this r01 file.</t>
  </si>
  <si>
    <t>Synthetic preview only. Context downloads and live import are not implemented.</t>
  </si>
  <si>
    <t>Do not add subtotal rows. Keep alternative estimating options in separate files.</t>
  </si>
  <si>
    <t>Project information</t>
  </si>
  <si>
    <t>Synthetic context for the import preview; operational adoption is pending.</t>
  </si>
  <si>
    <t>field</t>
  </si>
  <si>
    <t>schema_version</t>
  </si>
  <si>
    <t>1</t>
  </si>
  <si>
    <t>template_ref</t>
  </si>
  <si>
    <t>PPO-EST-WORKBOOK</t>
  </si>
  <si>
    <t>template_revision</t>
  </si>
  <si>
    <t>r01</t>
  </si>
  <si>
    <t>workbook_ref</t>
  </si>
  <si>
    <t>SYN-PPO-WBK-000001</t>
  </si>
  <si>
    <t>workbook_revision</t>
  </si>
  <si>
    <t>opportunity_ref</t>
  </si>
  <si>
    <t>SYN-PPO-OPP-EXCEL-001</t>
  </si>
  <si>
    <t>option_ref</t>
  </si>
  <si>
    <t>SYN-PPO-OPT-EXCEL-A</t>
  </si>
  <si>
    <t>organisation_ref</t>
  </si>
  <si>
    <t>SYN-PPO-ORG-EXCEL-001</t>
  </si>
  <si>
    <t>site_ref</t>
  </si>
  <si>
    <t>SYN-PPO-SITE-EXCEL-001</t>
  </si>
  <si>
    <t>title</t>
  </si>
  <si>
    <t>Propagation greenhouse systems upgrade</t>
  </si>
  <si>
    <t>estimator</t>
  </si>
  <si>
    <t>SYN Estimator</t>
  </si>
  <si>
    <t>currency</t>
  </si>
  <si>
    <t>AUD</t>
  </si>
  <si>
    <t>tax_basis</t>
  </si>
  <si>
    <t>ExcludingTax</t>
  </si>
  <si>
    <t>calculation_policy</t>
  </si>
  <si>
    <t>SYN-EST-ARITHMETIC-01</t>
  </si>
  <si>
    <t>data_mode</t>
  </si>
  <si>
    <t>Synthetic</t>
  </si>
  <si>
    <t>formula_reviewed_by</t>
  </si>
  <si>
    <t>formula_reviewed_at</t>
  </si>
  <si>
    <t>Estimate lines</t>
  </si>
  <si>
    <t>Synthetic example. Replace the 12 sample lines, scope, sources and project context before reuse.</t>
  </si>
  <si>
    <t>line_ref</t>
  </si>
  <si>
    <t>section_ref</t>
  </si>
  <si>
    <t>description</t>
  </si>
  <si>
    <t>category</t>
  </si>
  <si>
    <t>quantity</t>
  </si>
  <si>
    <t>unit</t>
  </si>
  <si>
    <t>unit_cost</t>
  </si>
  <si>
    <t>unit_sell</t>
  </si>
  <si>
    <t>allowance</t>
  </si>
  <si>
    <t>source_ref</t>
  </si>
  <si>
    <t>source_date</t>
  </si>
  <si>
    <t>include</t>
  </si>
  <si>
    <t>print</t>
  </si>
  <si>
    <t>entry_status</t>
  </si>
  <si>
    <t>L-001</t>
  </si>
  <si>
    <t>SEC-01</t>
  </si>
  <si>
    <t>Climate controller and interface</t>
  </si>
  <si>
    <t>Product</t>
  </si>
  <si>
    <t>ea</t>
  </si>
  <si>
    <t>No</t>
  </si>
  <si>
    <t>SRC-01</t>
  </si>
  <si>
    <t>Yes</t>
  </si>
  <si>
    <t>L-002</t>
  </si>
  <si>
    <t>Temperature and humidity sensors</t>
  </si>
  <si>
    <t>L-003</t>
  </si>
  <si>
    <t>SEC-02</t>
  </si>
  <si>
    <t>Fertigation dosing assembly</t>
  </si>
  <si>
    <t>SRC-02</t>
  </si>
  <si>
    <t>L-004</t>
  </si>
  <si>
    <t>Irrigation pipework</t>
  </si>
  <si>
    <t>m</t>
  </si>
  <si>
    <t>L-005</t>
  </si>
  <si>
    <t>Irrigation valve assemblies</t>
  </si>
  <si>
    <t>L-006</t>
  </si>
  <si>
    <t>SEC-03</t>
  </si>
  <si>
    <t>LED luminaires</t>
  </si>
  <si>
    <t>SRC-03</t>
  </si>
  <si>
    <t>L-007</t>
  </si>
  <si>
    <t>Luminaire mounting brackets</t>
  </si>
  <si>
    <t>L-008</t>
  </si>
  <si>
    <t>SEC-04</t>
  </si>
  <si>
    <t>Mechanical installation labour</t>
  </si>
  <si>
    <t>Labour</t>
  </si>
  <si>
    <t>h</t>
  </si>
  <si>
    <t>SRC-04</t>
  </si>
  <si>
    <t>L-009</t>
  </si>
  <si>
    <t>Electrical subcontract allowance</t>
  </si>
  <si>
    <t>Subcontract</t>
  </si>
  <si>
    <t>lot</t>
  </si>
  <si>
    <t>SRC-06</t>
  </si>
  <si>
    <t>L-010</t>
  </si>
  <si>
    <t>SEC-05</t>
  </si>
  <si>
    <t>Controls design and documentation</t>
  </si>
  <si>
    <t>Engineering</t>
  </si>
  <si>
    <t>L-011</t>
  </si>
  <si>
    <t>SEC-06</t>
  </si>
  <si>
    <t>Site delivery allowance</t>
  </si>
  <si>
    <t>Freight</t>
  </si>
  <si>
    <t>SRC-05</t>
  </si>
  <si>
    <t>L-012</t>
  </si>
  <si>
    <t>SEC-07</t>
  </si>
  <si>
    <t>Commissioning and operator training</t>
  </si>
  <si>
    <t>Scope and sections</t>
  </si>
  <si>
    <t>Sections preserve the facility, growing area, system and phase of the work.</t>
  </si>
  <si>
    <t>label</t>
  </si>
  <si>
    <t>facility_ref</t>
  </si>
  <si>
    <t>growing_area_ref</t>
  </si>
  <si>
    <t>system</t>
  </si>
  <si>
    <t>phase</t>
  </si>
  <si>
    <t>scope_ref</t>
  </si>
  <si>
    <t>kind</t>
  </si>
  <si>
    <t>text</t>
  </si>
  <si>
    <t>Climate control</t>
  </si>
  <si>
    <t>SYN-PPO-FAC-EXCEL-001</t>
  </si>
  <si>
    <t>Climate</t>
  </si>
  <si>
    <t>Upgrade</t>
  </si>
  <si>
    <t>SCOPE-01</t>
  </si>
  <si>
    <t>Inclusion</t>
  </si>
  <si>
    <t>Supply and install the listed controls, irrigation and lighting components.</t>
  </si>
  <si>
    <t>Irrigation and fertigation</t>
  </si>
  <si>
    <t>SYN-PPO-AREA-EXCEL-001</t>
  </si>
  <si>
    <t>Irrigation</t>
  </si>
  <si>
    <t>SCOPE-02</t>
  </si>
  <si>
    <t>Exclusion</t>
  </si>
  <si>
    <t>Incoming mains power upgrade and greenhouse structural alterations.</t>
  </si>
  <si>
    <t>Lighting</t>
  </si>
  <si>
    <t>SCOPE-03</t>
  </si>
  <si>
    <t>Assumption</t>
  </si>
  <si>
    <t>Existing water supply and switchboard capacity require confirmation before a firm offer.</t>
  </si>
  <si>
    <t>Installation</t>
  </si>
  <si>
    <t>Shared</t>
  </si>
  <si>
    <t>Design</t>
  </si>
  <si>
    <t>Delivery</t>
  </si>
  <si>
    <t>Commissioning</t>
  </si>
  <si>
    <t>Cost sources</t>
  </si>
  <si>
    <t>All sources and rates in this workbook are fictional.</t>
  </si>
  <si>
    <t>source_kind</t>
  </si>
  <si>
    <t>supplier_label</t>
  </si>
  <si>
    <t>document_ref</t>
  </si>
  <si>
    <t>valid_until</t>
  </si>
  <si>
    <t>internal_notes</t>
  </si>
  <si>
    <t>SupplierQuote</t>
  </si>
  <si>
    <t>SYN Controls Supplier</t>
  </si>
  <si>
    <t>SYN-PPO-SQ-001</t>
  </si>
  <si>
    <t>Fictional AUD unit costs; no company pricing.</t>
  </si>
  <si>
    <t>SYN Irrigation Supplier</t>
  </si>
  <si>
    <t>SYN-PPO-SQ-002</t>
  </si>
  <si>
    <t>Freight excluded; one separate freight line.</t>
  </si>
  <si>
    <t>SYN Lighting Supplier</t>
  </si>
  <si>
    <t>SYN-PPO-SQ-003</t>
  </si>
  <si>
    <t>Fictional equipment and bracket quantities.</t>
  </si>
  <si>
    <t>Manual</t>
  </si>
  <si>
    <t>SYN Estimating Team</t>
  </si>
  <si>
    <t>SYN-PPO-RATE-001</t>
  </si>
  <si>
    <t>Illustrative labour and engineering rates only.</t>
  </si>
  <si>
    <t>SYN Freight Provider</t>
  </si>
  <si>
    <t>SYN-PPO-SQ-004</t>
  </si>
  <si>
    <t>Delivery allowance is explicit; no booking.</t>
  </si>
  <si>
    <t>SYN Electrical Contractor</t>
  </si>
  <si>
    <t>SYN-PPO-SQ-005</t>
  </si>
  <si>
    <t>Electrical installation allowance pending survey.</t>
  </si>
  <si>
    <t>Installation labour build-up</t>
  </si>
  <si>
    <t>Illustrative hours only. Engineering adequacy is outside this calculation.</t>
  </si>
  <si>
    <t>Task</t>
  </si>
  <si>
    <t>Crew size</t>
  </si>
  <si>
    <t>Days</t>
  </si>
  <si>
    <t>Hours per day</t>
  </si>
  <si>
    <t>Mechanical installation</t>
  </si>
  <si>
    <t>Calculated labour hours</t>
  </si>
  <si>
    <t>Used by line L-008 on Estimate lines.</t>
  </si>
  <si>
    <t>Editable inputs are amber. Calculated cells are grey.</t>
  </si>
  <si>
    <t>Formula cells are not locked in this r01 workbook.</t>
  </si>
  <si>
    <t>PPO export</t>
  </si>
  <si>
    <t>Calculated export. PPO reads named tables, checks every line and recomputes totals.</t>
  </si>
  <si>
    <t>source_sheet</t>
  </si>
  <si>
    <t>source_row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</si>
</sst>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00"/>
    <numFmt numFmtId="166" formatCode="&quot;$&quot;#,##0.00;[Red]\(&quot;$&quot;#,##0.00\);&quot;$&quot;0.00"/>
  </numFmts>
  <fonts count="6">
    <font>
      <sz val="11"/>
      <name val="Carlito"/>
    </font>
    <font>
      <sz val="11"/>
      <color rgb="FF242A37"/>
      <name val="Roboto"/>
    </font>
    <font>
      <b/>
      <sz val="17"/>
      <color rgb="FF242A37"/>
      <name val="Roboto"/>
    </font>
    <font>
      <sz val="10"/>
      <color rgb="FF596779"/>
      <name val="Roboto"/>
    </font>
    <font>
      <b/>
      <sz val="11"/>
      <color rgb="FFFFFFFF"/>
      <name val="Roboto"/>
    </font>
    <font>
      <b/>
      <sz val="11"/>
      <color rgb="FF242A37"/>
      <name val="Roboto"/>
    </font>
  </fonts>
  <fills count="6">
    <fill>
      <patternFill patternType="none"/>
    </fill>
    <fill>
      <patternFill patternType="gray125"/>
    </fill>
    <fill>
      <patternFill patternType="solid">
        <fgColor rgb="FF242A37"/>
      </patternFill>
    </fill>
    <fill>
      <patternFill patternType="solid">
        <fgColor rgb="FFFFF5DF"/>
      </patternFill>
    </fill>
    <fill>
      <patternFill patternType="solid">
        <fgColor rgb="FFF5F6F8"/>
      </patternFill>
    </fill>
    <fill>
      <patternFill patternType="solid">
        <fgColor rgb="FFF5F6F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166" fontId="1" fillId="5" borderId="0" xfId="0" applyNumberFormat="1" applyFont="1" applyFill="1" applyAlignment="1">
      <alignment vertical="center"/>
    </xf>
  </cellXfs>
  <cellStyles count="1">
    <cellStyle name="Normal" xfId="0" builtinId="0"/>
  </cellStyles>
  <dxfs count="2">
    <dxf>
      <font>
        <b/>
        <color rgb="FF993B2A"/>
      </font>
      <fill>
        <patternFill>
          <bgColor rgb="FFFFF1ED"/>
        </patternFill>
      </fill>
    </dxf>
    <dxf>
      <font>
        <b/>
        <color rgb="FF993B2A"/>
      </font>
      <fill>
        <patternFill>
          <bgColor rgb="FFFFF1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PPO_Control" displayName="PPO_Control" ref="A15:B19" totalsRowShown="0">
  <tableColumns count="2">
    <tableColumn id="1" xr3:uid="{00000000-0010-0000-0000-000001000000}" name="control"/>
    <tableColumn id="2" xr3:uid="{00000000-0010-0000-0000-000002000000}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PO_Metadata" displayName="PPO_Metadata" ref="A5:B22" totalsRowShown="0">
  <tableColumns count="2">
    <tableColumn id="1" xr3:uid="{00000000-0010-0000-0100-000001000000}" name="field"/>
    <tableColumn id="2" xr3:uid="{00000000-0010-0000-0100-000002000000}" name="valu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PO_EstimateLines" displayName="PPO_EstimateLines" ref="A5:P105" totalsRowShown="0">
  <tableColumns count="16">
    <tableColumn id="1" xr3:uid="{00000000-0010-0000-0200-000001000000}" name="line_ref"/>
    <tableColumn id="2" xr3:uid="{00000000-0010-0000-0200-000002000000}" name="section_ref"/>
    <tableColumn id="3" xr3:uid="{00000000-0010-0000-0200-000003000000}" name="description"/>
    <tableColumn id="4" xr3:uid="{00000000-0010-0000-0200-000004000000}" name="category"/>
    <tableColumn id="5" xr3:uid="{00000000-0010-0000-0200-000005000000}" name="quantity"/>
    <tableColumn id="6" xr3:uid="{00000000-0010-0000-0200-000006000000}" name="unit"/>
    <tableColumn id="7" xr3:uid="{00000000-0010-0000-0200-000007000000}" name="unit_cost"/>
    <tableColumn id="8" xr3:uid="{00000000-0010-0000-0200-000008000000}" name="unit_sell"/>
    <tableColumn id="9" xr3:uid="{00000000-0010-0000-0200-000009000000}" name="allowance"/>
    <tableColumn id="10" xr3:uid="{00000000-0010-0000-0200-00000A000000}" name="source_ref"/>
    <tableColumn id="11" xr3:uid="{00000000-0010-0000-0200-00000B000000}" name="source_date"/>
    <tableColumn id="12" xr3:uid="{00000000-0010-0000-0200-00000C000000}" name="include"/>
    <tableColumn id="13" xr3:uid="{00000000-0010-0000-0200-00000D000000}" name="print"/>
    <tableColumn id="14" xr3:uid="{00000000-0010-0000-0200-00000E000000}" name="workbook_cost"/>
    <tableColumn id="15" xr3:uid="{00000000-0010-0000-0200-00000F000000}" name="workbook_sell"/>
    <tableColumn id="16" xr3:uid="{00000000-0010-0000-0200-000010000000}" name="entry_statu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PO_Sections" displayName="PPO_Sections" ref="A5:F12" totalsRowShown="0">
  <tableColumns count="6">
    <tableColumn id="1" xr3:uid="{00000000-0010-0000-0300-000001000000}" name="section_ref"/>
    <tableColumn id="2" xr3:uid="{00000000-0010-0000-0300-000002000000}" name="label"/>
    <tableColumn id="3" xr3:uid="{00000000-0010-0000-0300-000003000000}" name="facility_ref"/>
    <tableColumn id="4" xr3:uid="{00000000-0010-0000-0300-000004000000}" name="growing_area_ref"/>
    <tableColumn id="5" xr3:uid="{00000000-0010-0000-0300-000005000000}" name="system"/>
    <tableColumn id="6" xr3:uid="{00000000-0010-0000-0300-000006000000}" name="phas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PPO_Scope" displayName="PPO_Scope" ref="H5:J8" totalsRowShown="0">
  <tableColumns count="3">
    <tableColumn id="1" xr3:uid="{00000000-0010-0000-0400-000001000000}" name="scope_ref"/>
    <tableColumn id="2" xr3:uid="{00000000-0010-0000-0400-000002000000}" name="kind"/>
    <tableColumn id="3" xr3:uid="{00000000-0010-0000-0400-000003000000}" name="tex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PPO_Sources" displayName="PPO_Sources" ref="A5:G11" totalsRowShown="0">
  <tableColumns count="7">
    <tableColumn id="1" xr3:uid="{00000000-0010-0000-0500-000001000000}" name="source_ref"/>
    <tableColumn id="2" xr3:uid="{00000000-0010-0000-0500-000002000000}" name="source_kind"/>
    <tableColumn id="3" xr3:uid="{00000000-0010-0000-0500-000003000000}" name="supplier_label"/>
    <tableColumn id="4" xr3:uid="{00000000-0010-0000-0500-000004000000}" name="document_ref"/>
    <tableColumn id="5" xr3:uid="{00000000-0010-0000-0500-000005000000}" name="source_date"/>
    <tableColumn id="6" xr3:uid="{00000000-0010-0000-0500-000006000000}" name="valid_until"/>
    <tableColumn id="7" xr3:uid="{00000000-0010-0000-0500-000007000000}" name="internal_not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PPO_Lines" displayName="PPO_Lines" ref="A5:Q105" totalsRowShown="0">
  <tableColumns count="17">
    <tableColumn id="1" xr3:uid="{00000000-0010-0000-0600-000001000000}" name="line_ref"/>
    <tableColumn id="2" xr3:uid="{00000000-0010-0000-0600-000002000000}" name="section_ref"/>
    <tableColumn id="3" xr3:uid="{00000000-0010-0000-0600-000003000000}" name="description"/>
    <tableColumn id="4" xr3:uid="{00000000-0010-0000-0600-000004000000}" name="category"/>
    <tableColumn id="5" xr3:uid="{00000000-0010-0000-0600-000005000000}" name="quantity"/>
    <tableColumn id="6" xr3:uid="{00000000-0010-0000-0600-000006000000}" name="unit"/>
    <tableColumn id="7" xr3:uid="{00000000-0010-0000-0600-000007000000}" name="unit_cost"/>
    <tableColumn id="8" xr3:uid="{00000000-0010-0000-0600-000008000000}" name="unit_sell"/>
    <tableColumn id="9" xr3:uid="{00000000-0010-0000-0600-000009000000}" name="allowance"/>
    <tableColumn id="10" xr3:uid="{00000000-0010-0000-0600-00000A000000}" name="source_ref"/>
    <tableColumn id="11" xr3:uid="{00000000-0010-0000-0600-00000B000000}" name="source_date"/>
    <tableColumn id="12" xr3:uid="{00000000-0010-0000-0600-00000C000000}" name="include"/>
    <tableColumn id="13" xr3:uid="{00000000-0010-0000-0600-00000D000000}" name="print"/>
    <tableColumn id="14" xr3:uid="{00000000-0010-0000-0600-00000E000000}" name="source_sheet"/>
    <tableColumn id="15" xr3:uid="{00000000-0010-0000-0600-00000F000000}" name="source_row"/>
    <tableColumn id="16" xr3:uid="{00000000-0010-0000-0600-000010000000}" name="workbook_cost"/>
    <tableColumn id="17" xr3:uid="{00000000-0010-0000-0600-000011000000}" name="workbook_se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2A37"/>
  </sheetPr>
  <dimension ref="A1:G36"/>
  <sheetViews>
    <sheetView showGridLines="0" workbookViewId="0"/>
  </sheetViews>
  <sheetFormatPr defaultRowHeight="13.8"/>
  <cols>
    <col min="1" max="1" width="34" customWidth="1"/>
    <col min="2" max="2" width="22" customWidth="1"/>
    <col min="3" max="3" width="4" customWidth="1"/>
    <col min="4" max="4" width="32" customWidth="1"/>
    <col min="5" max="6" width="22" customWidth="1"/>
    <col min="7" max="7" width="20" customWidth="1"/>
  </cols>
  <sheetData>
    <row r="1" spans="1:7" ht="25.05" customHeight="1">
      <c r="A1" s="1"/>
      <c r="B1" s="1"/>
      <c r="C1" s="1"/>
      <c r="D1" s="1"/>
      <c r="E1" s="1"/>
      <c r="F1" s="1"/>
      <c r="G1" s="1"/>
    </row>
    <row r="2" spans="1:7" ht="25.05" customHeight="1">
      <c r="A2" s="2" t="s">
        <v>0</v>
      </c>
      <c r="B2" s="1"/>
      <c r="C2" s="1"/>
      <c r="D2" s="1"/>
      <c r="E2" s="1"/>
      <c r="F2" s="1"/>
      <c r="G2" s="1"/>
    </row>
    <row r="3" spans="1:7" ht="25.05" customHeight="1">
      <c r="A3" s="3" t="s">
        <v>1</v>
      </c>
      <c r="B3" s="1"/>
      <c r="C3" s="1"/>
      <c r="D3" s="1"/>
      <c r="E3" s="1"/>
      <c r="F3" s="1"/>
      <c r="G3" s="1"/>
    </row>
    <row r="4" spans="1:7" ht="25.05" customHeight="1">
      <c r="A4" s="1"/>
      <c r="B4" s="1"/>
      <c r="C4" s="1"/>
      <c r="D4" s="1"/>
      <c r="E4" s="1"/>
      <c r="F4" s="1"/>
      <c r="G4" s="1"/>
    </row>
    <row r="5" spans="1:7" ht="30" customHeight="1">
      <c r="A5" s="4" t="s">
        <v>2</v>
      </c>
      <c r="B5" s="4" t="s">
        <v>3</v>
      </c>
      <c r="C5" s="1"/>
      <c r="D5" s="4" t="s">
        <v>4</v>
      </c>
      <c r="E5" s="4" t="s">
        <v>5</v>
      </c>
      <c r="F5" s="4" t="s">
        <v>6</v>
      </c>
      <c r="G5" s="1"/>
    </row>
    <row r="6" spans="1:7" ht="25.05" customHeight="1">
      <c r="A6" s="1" t="s">
        <v>7</v>
      </c>
      <c r="B6" s="17">
        <f>IF(OR(B9=0,COUNT('Estimate lines'!N6:N105)&lt;&gt;B9),"",SUM('Estimate lines'!N6:N105))</f>
        <v>62952.38</v>
      </c>
      <c r="C6" s="1"/>
      <c r="D6" s="1" t="str">
        <f>IF(Scope!B6="","",Scope!B6)</f>
        <v>Climate control</v>
      </c>
      <c r="E6" s="17">
        <f>IF(OR($B$6="",Scope!A6=""),"",SUMIFS('Estimate lines'!N6:N105,'Estimate lines'!B6:B105,Scope!A6))</f>
        <v>15850</v>
      </c>
      <c r="F6" s="17">
        <f>IF(OR($B$7="",Scope!A6=""),"",SUMIFS('Estimate lines'!O6:O105,'Estimate lines'!B6:B105,Scope!A6))</f>
        <v>20920</v>
      </c>
      <c r="G6" s="1"/>
    </row>
    <row r="7" spans="1:7" ht="25.05" customHeight="1">
      <c r="A7" s="1" t="s">
        <v>8</v>
      </c>
      <c r="B7" s="17">
        <f>IF(OR(B9=0,COUNT('Estimate lines'!O6:O105)&lt;&gt;B9),"",SUM('Estimate lines'!O6:O105))</f>
        <v>85607.63</v>
      </c>
      <c r="C7" s="1"/>
      <c r="D7" s="1" t="str">
        <f>IF(Scope!B7="","",Scope!B7)</f>
        <v>Irrigation and fertigation</v>
      </c>
      <c r="E7" s="17">
        <f>IF(OR($B$6="",Scope!A7=""),"",SUMIFS('Estimate lines'!N6:N105,'Estimate lines'!B6:B105,Scope!A7))</f>
        <v>21118.38</v>
      </c>
      <c r="F7" s="17">
        <f>IF(OR($B$7="",Scope!A7=""),"",SUMIFS('Estimate lines'!O6:O105,'Estimate lines'!B6:B105,Scope!A7))</f>
        <v>28129.63</v>
      </c>
      <c r="G7" s="1"/>
    </row>
    <row r="8" spans="1:7" ht="25.05" customHeight="1">
      <c r="A8" s="1" t="s">
        <v>9</v>
      </c>
      <c r="B8" s="17">
        <f>IF(OR(B7="",COUNTIF('Estimate lines'!L6:L105,"Yes")+COUNTIF('Estimate lines'!L6:L105,"No")&lt;&gt;B9),"",SUMIFS('Estimate lines'!O6:O105,'Estimate lines'!L6:L105,"Yes"))</f>
        <v>85607.63</v>
      </c>
      <c r="C8" s="1"/>
      <c r="D8" s="1" t="str">
        <f>IF(Scope!B8="","",Scope!B8)</f>
        <v>Lighting</v>
      </c>
      <c r="E8" s="17">
        <f>IF(OR($B$6="",Scope!A8=""),"",SUMIFS('Estimate lines'!N6:N105,'Estimate lines'!B6:B105,Scope!A8))</f>
        <v>11364</v>
      </c>
      <c r="F8" s="17">
        <f>IF(OR($B$7="",Scope!A8=""),"",SUMIFS('Estimate lines'!O6:O105,'Estimate lines'!B6:B105,Scope!A8))</f>
        <v>15168</v>
      </c>
      <c r="G8" s="1"/>
    </row>
    <row r="9" spans="1:7" ht="25.05" customHeight="1">
      <c r="A9" s="1" t="s">
        <v>10</v>
      </c>
      <c r="B9" s="1">
        <f>100-COUNTBLANK('Estimate lines'!P6:P105)</f>
        <v>12</v>
      </c>
      <c r="C9" s="1"/>
      <c r="D9" s="1" t="str">
        <f>IF(Scope!B9="","",Scope!B9)</f>
        <v>Installation</v>
      </c>
      <c r="E9" s="17">
        <f>IF(OR($B$6="",Scope!A9=""),"",SUMIFS('Estimate lines'!N6:N105,'Estimate lines'!B6:B105,Scope!A9))</f>
        <v>9800</v>
      </c>
      <c r="F9" s="17">
        <f>IF(OR($B$7="",Scope!A9=""),"",SUMIFS('Estimate lines'!O6:O105,'Estimate lines'!B6:B105,Scope!A9))</f>
        <v>14200</v>
      </c>
      <c r="G9" s="1"/>
    </row>
    <row r="10" spans="1:7" ht="25.05" customHeight="1">
      <c r="A10" s="1" t="s">
        <v>11</v>
      </c>
      <c r="B10" s="1">
        <f>COUNTIFS('Estimate lines'!P6:P105,"Missing input")</f>
        <v>0</v>
      </c>
      <c r="C10" s="1"/>
      <c r="D10" s="1" t="str">
        <f>IF(Scope!B10="","",Scope!B10)</f>
        <v>Engineering</v>
      </c>
      <c r="E10" s="17">
        <f>IF(OR($B$6="",Scope!A10=""),"",SUMIFS('Estimate lines'!N6:N105,'Estimate lines'!B6:B105,Scope!A10))</f>
        <v>2040</v>
      </c>
      <c r="F10" s="17">
        <f>IF(OR($B$7="",Scope!A10=""),"",SUMIFS('Estimate lines'!O6:O105,'Estimate lines'!B6:B105,Scope!A10))</f>
        <v>3240</v>
      </c>
      <c r="G10" s="1"/>
    </row>
    <row r="11" spans="1:7" ht="25.05" customHeight="1">
      <c r="A11" s="1"/>
      <c r="B11" s="1"/>
      <c r="C11" s="1"/>
      <c r="D11" s="1" t="str">
        <f>IF(Scope!B11="","",Scope!B11)</f>
        <v>Freight</v>
      </c>
      <c r="E11" s="17">
        <f>IF(OR($B$6="",Scope!A11=""),"",SUMIFS('Estimate lines'!N6:N105,'Estimate lines'!B6:B105,Scope!A11))</f>
        <v>1500</v>
      </c>
      <c r="F11" s="17">
        <f>IF(OR($B$7="",Scope!A11=""),"",SUMIFS('Estimate lines'!O6:O105,'Estimate lines'!B6:B105,Scope!A11))</f>
        <v>1950</v>
      </c>
      <c r="G11" s="1"/>
    </row>
    <row r="12" spans="1:7" ht="25.05" customHeight="1">
      <c r="A12" s="1"/>
      <c r="B12" s="1"/>
      <c r="C12" s="1"/>
      <c r="D12" s="1" t="str">
        <f>IF(Scope!B12="","",Scope!B12)</f>
        <v>Commissioning</v>
      </c>
      <c r="E12" s="17">
        <f>IF(OR($B$6="",Scope!A12=""),"",SUMIFS('Estimate lines'!N6:N105,'Estimate lines'!B6:B105,Scope!A12))</f>
        <v>1280</v>
      </c>
      <c r="F12" s="17">
        <f>IF(OR($B$7="",Scope!A12=""),"",SUMIFS('Estimate lines'!O6:O105,'Estimate lines'!B6:B105,Scope!A12))</f>
        <v>2000</v>
      </c>
      <c r="G12" s="1"/>
    </row>
    <row r="13" spans="1:7" ht="25.05" customHeight="1">
      <c r="A13" s="1"/>
      <c r="B13" s="1"/>
      <c r="C13" s="1"/>
      <c r="D13" s="1"/>
      <c r="E13" s="1"/>
      <c r="F13" s="1"/>
      <c r="G13" s="1"/>
    </row>
    <row r="14" spans="1:7" ht="25.05" customHeight="1">
      <c r="A14" s="1"/>
      <c r="B14" s="1"/>
      <c r="C14" s="1"/>
      <c r="D14" s="1"/>
      <c r="E14" s="1"/>
      <c r="F14" s="1"/>
      <c r="G14" s="1"/>
    </row>
    <row r="15" spans="1:7" ht="42" customHeight="1">
      <c r="A15" s="5" t="s">
        <v>12</v>
      </c>
      <c r="B15" s="6" t="s">
        <v>13</v>
      </c>
      <c r="C15" s="1"/>
      <c r="D15" s="18" t="s">
        <v>14</v>
      </c>
      <c r="E15" s="1"/>
      <c r="F15" s="1"/>
      <c r="G15" s="1"/>
    </row>
    <row r="16" spans="1:7" ht="25.05" customHeight="1">
      <c r="A16" s="21" t="s">
        <v>15</v>
      </c>
      <c r="B16" s="21">
        <f>B9</f>
        <v>12</v>
      </c>
      <c r="C16" s="1"/>
      <c r="D16" s="1" t="s">
        <v>16</v>
      </c>
      <c r="E16" s="1"/>
      <c r="F16" s="1"/>
      <c r="G16" s="1"/>
    </row>
    <row r="17" spans="1:7" ht="25.05" customHeight="1">
      <c r="A17" s="21" t="s">
        <v>17</v>
      </c>
      <c r="B17" s="22">
        <f>B6</f>
        <v>62952.38</v>
      </c>
      <c r="C17" s="1"/>
      <c r="D17" s="1" t="s">
        <v>18</v>
      </c>
      <c r="E17" s="1"/>
      <c r="F17" s="1"/>
      <c r="G17" s="1"/>
    </row>
    <row r="18" spans="1:7" ht="25.05" customHeight="1">
      <c r="A18" s="21" t="s">
        <v>19</v>
      </c>
      <c r="B18" s="22">
        <f>B7</f>
        <v>85607.63</v>
      </c>
      <c r="C18" s="1"/>
      <c r="D18" s="1" t="s">
        <v>20</v>
      </c>
      <c r="E18" s="1"/>
      <c r="F18" s="1"/>
      <c r="G18" s="1"/>
    </row>
    <row r="19" spans="1:7" ht="25.05" customHeight="1">
      <c r="A19" s="21" t="s">
        <v>21</v>
      </c>
      <c r="B19" s="22">
        <f>B8</f>
        <v>85607.63</v>
      </c>
      <c r="C19" s="1"/>
      <c r="D19" s="1" t="s">
        <v>22</v>
      </c>
      <c r="E19" s="1"/>
      <c r="F19" s="1"/>
      <c r="G19" s="1"/>
    </row>
    <row r="20" spans="1:7" ht="25.05" customHeight="1">
      <c r="A20" s="1"/>
      <c r="B20" s="1"/>
      <c r="C20" s="1"/>
      <c r="D20" s="1"/>
      <c r="E20" s="1"/>
      <c r="F20" s="1"/>
      <c r="G20" s="1"/>
    </row>
    <row r="21" spans="1:7" ht="25.05" customHeight="1">
      <c r="A21" s="1"/>
      <c r="B21" s="1"/>
      <c r="C21" s="1"/>
      <c r="D21" s="1"/>
      <c r="E21" s="1"/>
      <c r="F21" s="1"/>
      <c r="G21" s="1"/>
    </row>
    <row r="22" spans="1:7" ht="25.05" customHeight="1">
      <c r="A22" s="1"/>
      <c r="B22" s="1"/>
      <c r="C22" s="1"/>
      <c r="D22" s="1"/>
      <c r="E22" s="1"/>
      <c r="F22" s="1"/>
      <c r="G22" s="1"/>
    </row>
    <row r="23" spans="1:7" ht="25.05" customHeight="1">
      <c r="A23" s="1" t="s">
        <v>23</v>
      </c>
      <c r="B23" s="1"/>
      <c r="C23" s="1"/>
      <c r="D23" s="1"/>
      <c r="E23" s="1"/>
      <c r="F23" s="1"/>
      <c r="G23" s="1"/>
    </row>
    <row r="24" spans="1:7" ht="25.05" customHeight="1">
      <c r="A24" s="1" t="s">
        <v>24</v>
      </c>
      <c r="B24" s="1"/>
      <c r="C24" s="1"/>
      <c r="D24" s="1"/>
      <c r="E24" s="1"/>
      <c r="F24" s="1"/>
      <c r="G24" s="1"/>
    </row>
    <row r="25" spans="1:7" ht="25.05" customHeight="1">
      <c r="A25" s="1" t="s">
        <v>25</v>
      </c>
      <c r="B25" s="1"/>
      <c r="C25" s="1"/>
      <c r="D25" s="1"/>
      <c r="E25" s="1"/>
      <c r="F25" s="1"/>
      <c r="G25" s="1"/>
    </row>
    <row r="26" spans="1:7" ht="25.05" customHeight="1">
      <c r="A26" s="1" t="s">
        <v>26</v>
      </c>
      <c r="B26" s="1"/>
      <c r="C26" s="1"/>
      <c r="D26" s="1"/>
      <c r="E26" s="1"/>
      <c r="F26" s="1"/>
      <c r="G26" s="1"/>
    </row>
    <row r="27" spans="1:7" ht="25.05" customHeight="1">
      <c r="A27" s="1" t="s">
        <v>27</v>
      </c>
      <c r="B27" s="1"/>
      <c r="C27" s="1"/>
      <c r="D27" s="1"/>
      <c r="E27" s="1"/>
      <c r="F27" s="1"/>
      <c r="G27" s="1"/>
    </row>
    <row r="28" spans="1:7" ht="25.05" customHeight="1">
      <c r="A28" s="1" t="s">
        <v>28</v>
      </c>
      <c r="B28" s="1"/>
      <c r="C28" s="1"/>
      <c r="D28" s="1"/>
      <c r="E28" s="1"/>
      <c r="F28" s="1"/>
      <c r="G28" s="1"/>
    </row>
    <row r="29" spans="1:7" ht="25.05" customHeight="1">
      <c r="A29" s="1" t="s">
        <v>29</v>
      </c>
      <c r="B29" s="1"/>
      <c r="C29" s="1"/>
      <c r="D29" s="1"/>
      <c r="E29" s="1"/>
      <c r="F29" s="1"/>
      <c r="G29" s="1"/>
    </row>
    <row r="30" spans="1:7" ht="25.05" customHeight="1">
      <c r="A30" s="1" t="s">
        <v>30</v>
      </c>
      <c r="B30" s="1"/>
      <c r="C30" s="1"/>
      <c r="D30" s="1"/>
      <c r="E30" s="1"/>
      <c r="F30" s="1"/>
      <c r="G30" s="1"/>
    </row>
    <row r="31" spans="1:7" ht="25.05" customHeight="1">
      <c r="A31" s="1" t="s">
        <v>31</v>
      </c>
      <c r="B31" s="1"/>
      <c r="C31" s="1"/>
      <c r="D31" s="1"/>
      <c r="E31" s="1"/>
      <c r="F31" s="1"/>
      <c r="G31" s="1"/>
    </row>
    <row r="32" spans="1:7" ht="25.05" customHeight="1">
      <c r="A32" s="1" t="s">
        <v>32</v>
      </c>
      <c r="B32" s="1"/>
      <c r="C32" s="1"/>
      <c r="D32" s="1"/>
      <c r="E32" s="1"/>
      <c r="F32" s="1"/>
      <c r="G32" s="1"/>
    </row>
    <row r="33" spans="1:7" ht="25.05" customHeight="1">
      <c r="A33" s="1" t="s">
        <v>33</v>
      </c>
      <c r="B33" s="1"/>
      <c r="C33" s="1"/>
      <c r="D33" s="1"/>
      <c r="E33" s="1"/>
      <c r="F33" s="1"/>
      <c r="G33" s="1"/>
    </row>
    <row r="34" spans="1:7" ht="25.05" customHeight="1">
      <c r="A34" s="1" t="s">
        <v>34</v>
      </c>
      <c r="B34" s="1"/>
      <c r="C34" s="1"/>
      <c r="D34" s="1"/>
      <c r="E34" s="1"/>
      <c r="F34" s="1"/>
      <c r="G34" s="1"/>
    </row>
    <row r="35" spans="1:7" ht="25.05" customHeight="1">
      <c r="A35" s="1" t="s">
        <v>35</v>
      </c>
      <c r="B35" s="1"/>
      <c r="C35" s="1"/>
      <c r="D35" s="1"/>
      <c r="E35" s="1"/>
      <c r="F35" s="1"/>
      <c r="G35" s="1"/>
    </row>
    <row r="36" spans="1:7" ht="25.05" customHeight="1">
      <c r="A36" s="1"/>
      <c r="B36" s="1"/>
      <c r="C36" s="1"/>
      <c r="D36" s="1"/>
      <c r="E36" s="1"/>
      <c r="F36" s="1"/>
      <c r="G36" s="1"/>
    </row>
  </sheetData>
  <conditionalFormatting sqref="B10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2BB46"/>
  </sheetPr>
  <dimension ref="A1:D25"/>
  <sheetViews>
    <sheetView showGridLines="0" workbookViewId="0"/>
  </sheetViews>
  <sheetFormatPr defaultRowHeight="13.8"/>
  <cols>
    <col min="1" max="1" width="28" customWidth="1"/>
    <col min="2" max="2" width="58" customWidth="1"/>
    <col min="3" max="4" width="20" customWidth="1"/>
  </cols>
  <sheetData>
    <row r="1" spans="1:4" ht="25.05" customHeight="1">
      <c r="A1" s="1"/>
      <c r="B1" s="1"/>
      <c r="C1" s="1"/>
      <c r="D1" s="1"/>
    </row>
    <row r="2" spans="1:4" ht="25.05" customHeight="1">
      <c r="A2" s="2" t="s">
        <v>36</v>
      </c>
      <c r="B2" s="1"/>
      <c r="C2" s="1"/>
      <c r="D2" s="1"/>
    </row>
    <row r="3" spans="1:4" ht="25.05" customHeight="1">
      <c r="A3" s="3" t="s">
        <v>37</v>
      </c>
      <c r="B3" s="1"/>
      <c r="C3" s="1"/>
      <c r="D3" s="1"/>
    </row>
    <row r="4" spans="1:4" ht="25.05" customHeight="1">
      <c r="A4" s="1"/>
      <c r="B4" s="1"/>
      <c r="C4" s="1"/>
      <c r="D4" s="1"/>
    </row>
    <row r="5" spans="1:4" ht="42" customHeight="1">
      <c r="A5" s="5" t="s">
        <v>38</v>
      </c>
      <c r="B5" s="6" t="s">
        <v>13</v>
      </c>
      <c r="C5" s="1"/>
      <c r="D5" s="1"/>
    </row>
    <row r="6" spans="1:4" ht="25.05" customHeight="1">
      <c r="A6" s="1" t="s">
        <v>39</v>
      </c>
      <c r="B6" s="7" t="s">
        <v>40</v>
      </c>
      <c r="C6" s="1"/>
      <c r="D6" s="1"/>
    </row>
    <row r="7" spans="1:4" ht="25.05" customHeight="1">
      <c r="A7" s="1" t="s">
        <v>41</v>
      </c>
      <c r="B7" s="7" t="s">
        <v>42</v>
      </c>
      <c r="C7" s="1"/>
      <c r="D7" s="1"/>
    </row>
    <row r="8" spans="1:4" ht="25.05" customHeight="1">
      <c r="A8" s="1" t="s">
        <v>43</v>
      </c>
      <c r="B8" s="7" t="s">
        <v>44</v>
      </c>
      <c r="C8" s="1"/>
      <c r="D8" s="1"/>
    </row>
    <row r="9" spans="1:4" ht="25.05" customHeight="1">
      <c r="A9" s="1" t="s">
        <v>45</v>
      </c>
      <c r="B9" s="7" t="s">
        <v>46</v>
      </c>
      <c r="C9" s="1"/>
      <c r="D9" s="1"/>
    </row>
    <row r="10" spans="1:4" ht="25.05" customHeight="1">
      <c r="A10" s="1" t="s">
        <v>47</v>
      </c>
      <c r="B10" s="7" t="s">
        <v>44</v>
      </c>
      <c r="C10" s="1"/>
      <c r="D10" s="1"/>
    </row>
    <row r="11" spans="1:4" ht="25.05" customHeight="1">
      <c r="A11" s="1" t="s">
        <v>48</v>
      </c>
      <c r="B11" s="7" t="s">
        <v>49</v>
      </c>
      <c r="C11" s="1"/>
      <c r="D11" s="1"/>
    </row>
    <row r="12" spans="1:4" ht="25.05" customHeight="1">
      <c r="A12" s="1" t="s">
        <v>50</v>
      </c>
      <c r="B12" s="7" t="s">
        <v>51</v>
      </c>
      <c r="C12" s="1"/>
      <c r="D12" s="1"/>
    </row>
    <row r="13" spans="1:4" ht="25.05" customHeight="1">
      <c r="A13" s="1" t="s">
        <v>52</v>
      </c>
      <c r="B13" s="7" t="s">
        <v>53</v>
      </c>
      <c r="C13" s="1"/>
      <c r="D13" s="1"/>
    </row>
    <row r="14" spans="1:4" ht="25.05" customHeight="1">
      <c r="A14" s="1" t="s">
        <v>54</v>
      </c>
      <c r="B14" s="7" t="s">
        <v>55</v>
      </c>
      <c r="C14" s="1"/>
      <c r="D14" s="1"/>
    </row>
    <row r="15" spans="1:4" ht="25.05" customHeight="1">
      <c r="A15" s="1" t="s">
        <v>56</v>
      </c>
      <c r="B15" s="7" t="s">
        <v>57</v>
      </c>
      <c r="C15" s="1"/>
      <c r="D15" s="1"/>
    </row>
    <row r="16" spans="1:4" ht="25.05" customHeight="1">
      <c r="A16" s="1" t="s">
        <v>58</v>
      </c>
      <c r="B16" s="7" t="s">
        <v>59</v>
      </c>
      <c r="C16" s="1"/>
      <c r="D16" s="1"/>
    </row>
    <row r="17" spans="1:4" ht="25.05" customHeight="1">
      <c r="A17" s="1" t="s">
        <v>60</v>
      </c>
      <c r="B17" s="7" t="s">
        <v>61</v>
      </c>
      <c r="C17" s="1"/>
      <c r="D17" s="1"/>
    </row>
    <row r="18" spans="1:4" ht="25.05" customHeight="1">
      <c r="A18" s="1" t="s">
        <v>62</v>
      </c>
      <c r="B18" s="7" t="s">
        <v>63</v>
      </c>
      <c r="C18" s="1"/>
      <c r="D18" s="1"/>
    </row>
    <row r="19" spans="1:4" ht="25.05" customHeight="1">
      <c r="A19" s="1" t="s">
        <v>64</v>
      </c>
      <c r="B19" s="7" t="s">
        <v>65</v>
      </c>
      <c r="C19" s="1"/>
      <c r="D19" s="1"/>
    </row>
    <row r="20" spans="1:4" ht="25.05" customHeight="1">
      <c r="A20" s="1" t="s">
        <v>66</v>
      </c>
      <c r="B20" s="7" t="s">
        <v>67</v>
      </c>
      <c r="C20" s="1"/>
      <c r="D20" s="1"/>
    </row>
    <row r="21" spans="1:4" ht="25.05" customHeight="1">
      <c r="A21" s="1" t="s">
        <v>68</v>
      </c>
      <c r="B21" s="7" t="s">
        <v>59</v>
      </c>
      <c r="C21" s="1"/>
      <c r="D21" s="1"/>
    </row>
    <row r="22" spans="1:4" ht="25.05" customHeight="1">
      <c r="A22" s="1" t="s">
        <v>69</v>
      </c>
      <c r="B22" s="8">
        <v>46280</v>
      </c>
      <c r="C22" s="1"/>
      <c r="D22" s="1"/>
    </row>
    <row r="23" spans="1:4" ht="25.05" customHeight="1">
      <c r="A23" s="1"/>
      <c r="B23" s="1"/>
      <c r="C23" s="1"/>
      <c r="D23" s="1"/>
    </row>
    <row r="24" spans="1:4" ht="25.05" customHeight="1">
      <c r="A24" s="1"/>
      <c r="B24" s="1"/>
      <c r="C24" s="1"/>
      <c r="D24" s="1"/>
    </row>
    <row r="25" spans="1:4" ht="25.05" customHeight="1">
      <c r="A25" s="1"/>
      <c r="B25" s="1"/>
      <c r="C25" s="1"/>
      <c r="D25" s="1"/>
    </row>
  </sheetData>
  <dataValidations count="3">
    <dataValidation type="list" sqref="B17" xr:uid="{00000000-0002-0000-0100-000000000000}">
      <formula1>"AUD"</formula1>
    </dataValidation>
    <dataValidation type="list" sqref="B18" xr:uid="{00000000-0002-0000-0100-000001000000}">
      <formula1>"ExcludingTax"</formula1>
    </dataValidation>
    <dataValidation type="list" sqref="B20" xr:uid="{00000000-0002-0000-0100-000002000000}">
      <formula1>"Synthetic"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showGridLines="0" topLeftCell="H4" workbookViewId="0">
      <selection activeCell="C6" sqref="C6"/>
    </sheetView>
  </sheetViews>
  <sheetFormatPr defaultRowHeight="13.8"/>
  <cols>
    <col min="1" max="2" width="16" customWidth="1"/>
    <col min="3" max="3" width="45" customWidth="1"/>
    <col min="4" max="4" width="19" customWidth="1"/>
    <col min="5" max="5" width="15" customWidth="1"/>
    <col min="6" max="6" width="12" customWidth="1"/>
    <col min="7" max="8" width="18" customWidth="1"/>
    <col min="9" max="9" width="15" customWidth="1"/>
    <col min="10" max="10" width="16" customWidth="1"/>
    <col min="11" max="11" width="19" customWidth="1"/>
    <col min="12" max="13" width="13" customWidth="1"/>
    <col min="14" max="15" width="20" customWidth="1"/>
    <col min="16" max="16" width="22" customWidth="1"/>
  </cols>
  <sheetData>
    <row r="1" spans="1:16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05" customHeight="1">
      <c r="A2" s="2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3" t="s">
        <v>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42" customHeight="1">
      <c r="A5" s="5" t="s">
        <v>72</v>
      </c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80</v>
      </c>
      <c r="J5" s="9" t="s">
        <v>81</v>
      </c>
      <c r="K5" s="9" t="s">
        <v>82</v>
      </c>
      <c r="L5" s="9" t="s">
        <v>83</v>
      </c>
      <c r="M5" s="9" t="s">
        <v>84</v>
      </c>
      <c r="N5" s="9" t="s">
        <v>17</v>
      </c>
      <c r="O5" s="9" t="s">
        <v>19</v>
      </c>
      <c r="P5" s="6" t="s">
        <v>85</v>
      </c>
    </row>
    <row r="6" spans="1:16" ht="25.05" customHeight="1">
      <c r="A6" s="7" t="s">
        <v>86</v>
      </c>
      <c r="B6" s="7" t="s">
        <v>87</v>
      </c>
      <c r="C6" s="7" t="s">
        <v>88</v>
      </c>
      <c r="D6" s="7" t="s">
        <v>89</v>
      </c>
      <c r="E6" s="13">
        <v>1</v>
      </c>
      <c r="F6" s="19" t="s">
        <v>90</v>
      </c>
      <c r="G6" s="14">
        <v>14500</v>
      </c>
      <c r="H6" s="14">
        <v>19000</v>
      </c>
      <c r="I6" s="7" t="s">
        <v>91</v>
      </c>
      <c r="J6" s="7" t="s">
        <v>92</v>
      </c>
      <c r="K6" s="8">
        <v>46275</v>
      </c>
      <c r="L6" s="7" t="s">
        <v>93</v>
      </c>
      <c r="M6" s="7" t="s">
        <v>93</v>
      </c>
      <c r="N6" s="15">
        <f t="shared" ref="N6:N37" si="0">IF(A6="","",IF(COUNT(E6,G6)=2,ROUND(E6*G6,2),""))</f>
        <v>14500</v>
      </c>
      <c r="O6" s="15">
        <f t="shared" ref="O6:O37" si="1">IF(A6="","",IF(COUNT(E6,H6)=2,ROUND(E6*H6,2),""))</f>
        <v>19000</v>
      </c>
      <c r="P6" s="11" t="str">
        <f t="shared" ref="P6:P37" si="2">IF(COUNTBLANK(A6:M6)=13,"",IF(AND(A6&lt;&gt;"",B6&lt;&gt;"",C6&lt;&gt;"",D6&lt;&gt;"",COUNT(E6,G6:H6)=3,E6&gt;0,F6&lt;&gt;"",J6&lt;&gt;"",ISNUMBER(K6),OR(I6="Yes",I6="No"),OR(L6="Yes",L6="No"),OR(M6="Yes",M6="No")),"Review in PPO","Missing input"))</f>
        <v>Review in PPO</v>
      </c>
    </row>
    <row r="7" spans="1:16" ht="25.05" customHeight="1">
      <c r="A7" s="7" t="s">
        <v>94</v>
      </c>
      <c r="B7" s="7" t="s">
        <v>87</v>
      </c>
      <c r="C7" s="7" t="s">
        <v>95</v>
      </c>
      <c r="D7" s="7" t="s">
        <v>89</v>
      </c>
      <c r="E7" s="13">
        <v>6</v>
      </c>
      <c r="F7" s="19" t="s">
        <v>90</v>
      </c>
      <c r="G7" s="14">
        <v>225</v>
      </c>
      <c r="H7" s="14">
        <v>320</v>
      </c>
      <c r="I7" s="7" t="s">
        <v>91</v>
      </c>
      <c r="J7" s="7" t="s">
        <v>92</v>
      </c>
      <c r="K7" s="8">
        <v>46275</v>
      </c>
      <c r="L7" s="7" t="s">
        <v>93</v>
      </c>
      <c r="M7" s="7" t="s">
        <v>93</v>
      </c>
      <c r="N7" s="15">
        <f t="shared" si="0"/>
        <v>1350</v>
      </c>
      <c r="O7" s="15">
        <f t="shared" si="1"/>
        <v>1920</v>
      </c>
      <c r="P7" s="11" t="str">
        <f t="shared" si="2"/>
        <v>Review in PPO</v>
      </c>
    </row>
    <row r="8" spans="1:16" ht="25.05" customHeight="1">
      <c r="A8" s="7" t="s">
        <v>96</v>
      </c>
      <c r="B8" s="7" t="s">
        <v>97</v>
      </c>
      <c r="C8" s="7" t="s">
        <v>98</v>
      </c>
      <c r="D8" s="7" t="s">
        <v>89</v>
      </c>
      <c r="E8" s="13">
        <v>1</v>
      </c>
      <c r="F8" s="19" t="s">
        <v>90</v>
      </c>
      <c r="G8" s="14">
        <v>18500</v>
      </c>
      <c r="H8" s="14">
        <v>24500</v>
      </c>
      <c r="I8" s="7" t="s">
        <v>91</v>
      </c>
      <c r="J8" s="7" t="s">
        <v>99</v>
      </c>
      <c r="K8" s="8">
        <v>46275</v>
      </c>
      <c r="L8" s="7" t="s">
        <v>93</v>
      </c>
      <c r="M8" s="7" t="s">
        <v>93</v>
      </c>
      <c r="N8" s="15">
        <f t="shared" si="0"/>
        <v>18500</v>
      </c>
      <c r="O8" s="15">
        <f t="shared" si="1"/>
        <v>24500</v>
      </c>
      <c r="P8" s="11" t="str">
        <f t="shared" si="2"/>
        <v>Review in PPO</v>
      </c>
    </row>
    <row r="9" spans="1:16" ht="25.05" customHeight="1">
      <c r="A9" s="7" t="s">
        <v>100</v>
      </c>
      <c r="B9" s="7" t="s">
        <v>97</v>
      </c>
      <c r="C9" s="7" t="s">
        <v>101</v>
      </c>
      <c r="D9" s="7" t="s">
        <v>89</v>
      </c>
      <c r="E9" s="13">
        <v>180.5</v>
      </c>
      <c r="F9" s="19" t="s">
        <v>102</v>
      </c>
      <c r="G9" s="14">
        <v>6.75</v>
      </c>
      <c r="H9" s="14">
        <v>9.25</v>
      </c>
      <c r="I9" s="7" t="s">
        <v>91</v>
      </c>
      <c r="J9" s="7" t="s">
        <v>99</v>
      </c>
      <c r="K9" s="8">
        <v>46275</v>
      </c>
      <c r="L9" s="7" t="s">
        <v>93</v>
      </c>
      <c r="M9" s="7" t="s">
        <v>93</v>
      </c>
      <c r="N9" s="15">
        <f t="shared" si="0"/>
        <v>1218.3800000000001</v>
      </c>
      <c r="O9" s="15">
        <f t="shared" si="1"/>
        <v>1669.63</v>
      </c>
      <c r="P9" s="11" t="str">
        <f t="shared" si="2"/>
        <v>Review in PPO</v>
      </c>
    </row>
    <row r="10" spans="1:16" ht="25.05" customHeight="1">
      <c r="A10" s="7" t="s">
        <v>103</v>
      </c>
      <c r="B10" s="7" t="s">
        <v>97</v>
      </c>
      <c r="C10" s="7" t="s">
        <v>104</v>
      </c>
      <c r="D10" s="7" t="s">
        <v>89</v>
      </c>
      <c r="E10" s="13">
        <v>8</v>
      </c>
      <c r="F10" s="19" t="s">
        <v>90</v>
      </c>
      <c r="G10" s="14">
        <v>175</v>
      </c>
      <c r="H10" s="14">
        <v>245</v>
      </c>
      <c r="I10" s="7" t="s">
        <v>91</v>
      </c>
      <c r="J10" s="7" t="s">
        <v>99</v>
      </c>
      <c r="K10" s="8">
        <v>46275</v>
      </c>
      <c r="L10" s="7" t="s">
        <v>93</v>
      </c>
      <c r="M10" s="7" t="s">
        <v>93</v>
      </c>
      <c r="N10" s="15">
        <f t="shared" si="0"/>
        <v>1400</v>
      </c>
      <c r="O10" s="15">
        <f t="shared" si="1"/>
        <v>1960</v>
      </c>
      <c r="P10" s="11" t="str">
        <f t="shared" si="2"/>
        <v>Review in PPO</v>
      </c>
    </row>
    <row r="11" spans="1:16" ht="25.05" customHeight="1">
      <c r="A11" s="7" t="s">
        <v>105</v>
      </c>
      <c r="B11" s="7" t="s">
        <v>106</v>
      </c>
      <c r="C11" s="7" t="s">
        <v>107</v>
      </c>
      <c r="D11" s="7" t="s">
        <v>89</v>
      </c>
      <c r="E11" s="13">
        <v>24</v>
      </c>
      <c r="F11" s="19" t="s">
        <v>90</v>
      </c>
      <c r="G11" s="14">
        <v>465</v>
      </c>
      <c r="H11" s="14">
        <v>620</v>
      </c>
      <c r="I11" s="7" t="s">
        <v>91</v>
      </c>
      <c r="J11" s="7" t="s">
        <v>108</v>
      </c>
      <c r="K11" s="8">
        <v>46276</v>
      </c>
      <c r="L11" s="7" t="s">
        <v>93</v>
      </c>
      <c r="M11" s="7" t="s">
        <v>93</v>
      </c>
      <c r="N11" s="15">
        <f t="shared" si="0"/>
        <v>11160</v>
      </c>
      <c r="O11" s="15">
        <f t="shared" si="1"/>
        <v>14880</v>
      </c>
      <c r="P11" s="11" t="str">
        <f t="shared" si="2"/>
        <v>Review in PPO</v>
      </c>
    </row>
    <row r="12" spans="1:16" ht="25.05" customHeight="1">
      <c r="A12" s="7" t="s">
        <v>109</v>
      </c>
      <c r="B12" s="7" t="s">
        <v>106</v>
      </c>
      <c r="C12" s="7" t="s">
        <v>110</v>
      </c>
      <c r="D12" s="7" t="s">
        <v>89</v>
      </c>
      <c r="E12" s="13">
        <v>24</v>
      </c>
      <c r="F12" s="19" t="s">
        <v>90</v>
      </c>
      <c r="G12" s="14">
        <v>8.5</v>
      </c>
      <c r="H12" s="14">
        <v>12</v>
      </c>
      <c r="I12" s="7" t="s">
        <v>91</v>
      </c>
      <c r="J12" s="7" t="s">
        <v>108</v>
      </c>
      <c r="K12" s="8">
        <v>46276</v>
      </c>
      <c r="L12" s="7" t="s">
        <v>93</v>
      </c>
      <c r="M12" s="7" t="s">
        <v>93</v>
      </c>
      <c r="N12" s="15">
        <f t="shared" si="0"/>
        <v>204</v>
      </c>
      <c r="O12" s="15">
        <f t="shared" si="1"/>
        <v>288</v>
      </c>
      <c r="P12" s="11" t="str">
        <f t="shared" si="2"/>
        <v>Review in PPO</v>
      </c>
    </row>
    <row r="13" spans="1:16" ht="25.05" customHeight="1">
      <c r="A13" s="7" t="s">
        <v>111</v>
      </c>
      <c r="B13" s="7" t="s">
        <v>112</v>
      </c>
      <c r="C13" s="7" t="s">
        <v>113</v>
      </c>
      <c r="D13" s="7" t="s">
        <v>114</v>
      </c>
      <c r="E13" s="12">
        <f>IF(Calculation!D8="","",Calculation!D8)</f>
        <v>80</v>
      </c>
      <c r="F13" s="19" t="s">
        <v>115</v>
      </c>
      <c r="G13" s="14">
        <v>70</v>
      </c>
      <c r="H13" s="14">
        <v>110</v>
      </c>
      <c r="I13" s="7" t="s">
        <v>91</v>
      </c>
      <c r="J13" s="7" t="s">
        <v>116</v>
      </c>
      <c r="K13" s="8">
        <v>46277</v>
      </c>
      <c r="L13" s="7" t="s">
        <v>93</v>
      </c>
      <c r="M13" s="7" t="s">
        <v>93</v>
      </c>
      <c r="N13" s="15">
        <f t="shared" si="0"/>
        <v>5600</v>
      </c>
      <c r="O13" s="15">
        <f t="shared" si="1"/>
        <v>8800</v>
      </c>
      <c r="P13" s="11" t="str">
        <f t="shared" si="2"/>
        <v>Review in PPO</v>
      </c>
    </row>
    <row r="14" spans="1:16" ht="25.05" customHeight="1">
      <c r="A14" s="7" t="s">
        <v>117</v>
      </c>
      <c r="B14" s="7" t="s">
        <v>112</v>
      </c>
      <c r="C14" s="7" t="s">
        <v>118</v>
      </c>
      <c r="D14" s="7" t="s">
        <v>119</v>
      </c>
      <c r="E14" s="13">
        <v>1</v>
      </c>
      <c r="F14" s="19" t="s">
        <v>120</v>
      </c>
      <c r="G14" s="14">
        <v>4200</v>
      </c>
      <c r="H14" s="14">
        <v>5400</v>
      </c>
      <c r="I14" s="7" t="s">
        <v>93</v>
      </c>
      <c r="J14" s="7" t="s">
        <v>121</v>
      </c>
      <c r="K14" s="8">
        <v>46277</v>
      </c>
      <c r="L14" s="7" t="s">
        <v>93</v>
      </c>
      <c r="M14" s="7" t="s">
        <v>93</v>
      </c>
      <c r="N14" s="15">
        <f t="shared" si="0"/>
        <v>4200</v>
      </c>
      <c r="O14" s="15">
        <f t="shared" si="1"/>
        <v>5400</v>
      </c>
      <c r="P14" s="11" t="str">
        <f t="shared" si="2"/>
        <v>Review in PPO</v>
      </c>
    </row>
    <row r="15" spans="1:16" ht="25.05" customHeight="1">
      <c r="A15" s="7" t="s">
        <v>122</v>
      </c>
      <c r="B15" s="7" t="s">
        <v>123</v>
      </c>
      <c r="C15" s="7" t="s">
        <v>124</v>
      </c>
      <c r="D15" s="7" t="s">
        <v>125</v>
      </c>
      <c r="E15" s="13">
        <v>24</v>
      </c>
      <c r="F15" s="19" t="s">
        <v>115</v>
      </c>
      <c r="G15" s="14">
        <v>85</v>
      </c>
      <c r="H15" s="14">
        <v>135</v>
      </c>
      <c r="I15" s="7" t="s">
        <v>91</v>
      </c>
      <c r="J15" s="7" t="s">
        <v>116</v>
      </c>
      <c r="K15" s="8">
        <v>46277</v>
      </c>
      <c r="L15" s="7" t="s">
        <v>93</v>
      </c>
      <c r="M15" s="7" t="s">
        <v>93</v>
      </c>
      <c r="N15" s="15">
        <f t="shared" si="0"/>
        <v>2040</v>
      </c>
      <c r="O15" s="15">
        <f t="shared" si="1"/>
        <v>3240</v>
      </c>
      <c r="P15" s="11" t="str">
        <f t="shared" si="2"/>
        <v>Review in PPO</v>
      </c>
    </row>
    <row r="16" spans="1:16" ht="25.05" customHeight="1">
      <c r="A16" s="7" t="s">
        <v>126</v>
      </c>
      <c r="B16" s="7" t="s">
        <v>127</v>
      </c>
      <c r="C16" s="7" t="s">
        <v>128</v>
      </c>
      <c r="D16" s="7" t="s">
        <v>129</v>
      </c>
      <c r="E16" s="13">
        <v>1</v>
      </c>
      <c r="F16" s="19" t="s">
        <v>120</v>
      </c>
      <c r="G16" s="14">
        <v>1500</v>
      </c>
      <c r="H16" s="14">
        <v>1950</v>
      </c>
      <c r="I16" s="7" t="s">
        <v>93</v>
      </c>
      <c r="J16" s="7" t="s">
        <v>130</v>
      </c>
      <c r="K16" s="8">
        <v>46277</v>
      </c>
      <c r="L16" s="7" t="s">
        <v>93</v>
      </c>
      <c r="M16" s="7" t="s">
        <v>93</v>
      </c>
      <c r="N16" s="15">
        <f t="shared" si="0"/>
        <v>1500</v>
      </c>
      <c r="O16" s="15">
        <f t="shared" si="1"/>
        <v>1950</v>
      </c>
      <c r="P16" s="11" t="str">
        <f t="shared" si="2"/>
        <v>Review in PPO</v>
      </c>
    </row>
    <row r="17" spans="1:16" ht="25.05" customHeight="1">
      <c r="A17" s="7" t="s">
        <v>131</v>
      </c>
      <c r="B17" s="7" t="s">
        <v>132</v>
      </c>
      <c r="C17" s="7" t="s">
        <v>133</v>
      </c>
      <c r="D17" s="7" t="s">
        <v>114</v>
      </c>
      <c r="E17" s="13">
        <v>16</v>
      </c>
      <c r="F17" s="19" t="s">
        <v>115</v>
      </c>
      <c r="G17" s="14">
        <v>80</v>
      </c>
      <c r="H17" s="14">
        <v>125</v>
      </c>
      <c r="I17" s="7" t="s">
        <v>91</v>
      </c>
      <c r="J17" s="7" t="s">
        <v>116</v>
      </c>
      <c r="K17" s="8">
        <v>46277</v>
      </c>
      <c r="L17" s="7" t="s">
        <v>93</v>
      </c>
      <c r="M17" s="7" t="s">
        <v>93</v>
      </c>
      <c r="N17" s="15">
        <f t="shared" si="0"/>
        <v>1280</v>
      </c>
      <c r="O17" s="15">
        <f t="shared" si="1"/>
        <v>2000</v>
      </c>
      <c r="P17" s="11" t="str">
        <f t="shared" si="2"/>
        <v>Review in PPO</v>
      </c>
    </row>
    <row r="18" spans="1:16" ht="25.05" customHeight="1">
      <c r="A18" s="7"/>
      <c r="B18" s="7"/>
      <c r="C18" s="7"/>
      <c r="D18" s="7"/>
      <c r="E18" s="13"/>
      <c r="F18" s="19"/>
      <c r="G18" s="14"/>
      <c r="H18" s="14"/>
      <c r="I18" s="7"/>
      <c r="J18" s="7"/>
      <c r="K18" s="8"/>
      <c r="L18" s="7"/>
      <c r="M18" s="7"/>
      <c r="N18" s="15" t="str">
        <f t="shared" si="0"/>
        <v/>
      </c>
      <c r="O18" s="15" t="str">
        <f t="shared" si="1"/>
        <v/>
      </c>
      <c r="P18" s="11" t="str">
        <f t="shared" si="2"/>
        <v/>
      </c>
    </row>
    <row r="19" spans="1:16" ht="25.05" customHeight="1">
      <c r="A19" s="7"/>
      <c r="B19" s="7"/>
      <c r="C19" s="7"/>
      <c r="D19" s="7"/>
      <c r="E19" s="13"/>
      <c r="F19" s="19"/>
      <c r="G19" s="14"/>
      <c r="H19" s="14"/>
      <c r="I19" s="7"/>
      <c r="J19" s="7"/>
      <c r="K19" s="8"/>
      <c r="L19" s="7"/>
      <c r="M19" s="7"/>
      <c r="N19" s="15" t="str">
        <f t="shared" si="0"/>
        <v/>
      </c>
      <c r="O19" s="15" t="str">
        <f t="shared" si="1"/>
        <v/>
      </c>
      <c r="P19" s="11" t="str">
        <f t="shared" si="2"/>
        <v/>
      </c>
    </row>
    <row r="20" spans="1:16" ht="25.05" customHeight="1">
      <c r="A20" s="7"/>
      <c r="B20" s="7"/>
      <c r="C20" s="7"/>
      <c r="D20" s="7"/>
      <c r="E20" s="13"/>
      <c r="F20" s="19"/>
      <c r="G20" s="14"/>
      <c r="H20" s="14"/>
      <c r="I20" s="7"/>
      <c r="J20" s="7"/>
      <c r="K20" s="8"/>
      <c r="L20" s="7"/>
      <c r="M20" s="7"/>
      <c r="N20" s="15" t="str">
        <f t="shared" si="0"/>
        <v/>
      </c>
      <c r="O20" s="15" t="str">
        <f t="shared" si="1"/>
        <v/>
      </c>
      <c r="P20" s="11" t="str">
        <f t="shared" si="2"/>
        <v/>
      </c>
    </row>
    <row r="21" spans="1:16" ht="25.05" customHeight="1">
      <c r="A21" s="7"/>
      <c r="B21" s="7"/>
      <c r="C21" s="7"/>
      <c r="D21" s="7"/>
      <c r="E21" s="13"/>
      <c r="F21" s="19"/>
      <c r="G21" s="14"/>
      <c r="H21" s="14"/>
      <c r="I21" s="7"/>
      <c r="J21" s="7"/>
      <c r="K21" s="8"/>
      <c r="L21" s="7"/>
      <c r="M21" s="7"/>
      <c r="N21" s="15" t="str">
        <f t="shared" si="0"/>
        <v/>
      </c>
      <c r="O21" s="15" t="str">
        <f t="shared" si="1"/>
        <v/>
      </c>
      <c r="P21" s="11" t="str">
        <f t="shared" si="2"/>
        <v/>
      </c>
    </row>
    <row r="22" spans="1:16" ht="25.05" customHeight="1">
      <c r="A22" s="7"/>
      <c r="B22" s="7"/>
      <c r="C22" s="7"/>
      <c r="D22" s="7"/>
      <c r="E22" s="13"/>
      <c r="F22" s="19"/>
      <c r="G22" s="14"/>
      <c r="H22" s="14"/>
      <c r="I22" s="7"/>
      <c r="J22" s="7"/>
      <c r="K22" s="8"/>
      <c r="L22" s="7"/>
      <c r="M22" s="7"/>
      <c r="N22" s="15" t="str">
        <f t="shared" si="0"/>
        <v/>
      </c>
      <c r="O22" s="15" t="str">
        <f t="shared" si="1"/>
        <v/>
      </c>
      <c r="P22" s="11" t="str">
        <f t="shared" si="2"/>
        <v/>
      </c>
    </row>
    <row r="23" spans="1:16" ht="25.05" customHeight="1">
      <c r="A23" s="7"/>
      <c r="B23" s="7"/>
      <c r="C23" s="7"/>
      <c r="D23" s="7"/>
      <c r="E23" s="13"/>
      <c r="F23" s="19"/>
      <c r="G23" s="14"/>
      <c r="H23" s="14"/>
      <c r="I23" s="7"/>
      <c r="J23" s="7"/>
      <c r="K23" s="8"/>
      <c r="L23" s="7"/>
      <c r="M23" s="7"/>
      <c r="N23" s="15" t="str">
        <f t="shared" si="0"/>
        <v/>
      </c>
      <c r="O23" s="15" t="str">
        <f t="shared" si="1"/>
        <v/>
      </c>
      <c r="P23" s="11" t="str">
        <f t="shared" si="2"/>
        <v/>
      </c>
    </row>
    <row r="24" spans="1:16" ht="25.05" customHeight="1">
      <c r="A24" s="7"/>
      <c r="B24" s="7"/>
      <c r="C24" s="7"/>
      <c r="D24" s="7"/>
      <c r="E24" s="13"/>
      <c r="F24" s="19"/>
      <c r="G24" s="14"/>
      <c r="H24" s="14"/>
      <c r="I24" s="7"/>
      <c r="J24" s="7"/>
      <c r="K24" s="8"/>
      <c r="L24" s="7"/>
      <c r="M24" s="7"/>
      <c r="N24" s="15" t="str">
        <f t="shared" si="0"/>
        <v/>
      </c>
      <c r="O24" s="15" t="str">
        <f t="shared" si="1"/>
        <v/>
      </c>
      <c r="P24" s="11" t="str">
        <f t="shared" si="2"/>
        <v/>
      </c>
    </row>
    <row r="25" spans="1:16" ht="25.05" customHeight="1">
      <c r="A25" s="7"/>
      <c r="B25" s="7"/>
      <c r="C25" s="7"/>
      <c r="D25" s="7"/>
      <c r="E25" s="13"/>
      <c r="F25" s="19"/>
      <c r="G25" s="14"/>
      <c r="H25" s="14"/>
      <c r="I25" s="7"/>
      <c r="J25" s="7"/>
      <c r="K25" s="8"/>
      <c r="L25" s="7"/>
      <c r="M25" s="7"/>
      <c r="N25" s="15" t="str">
        <f t="shared" si="0"/>
        <v/>
      </c>
      <c r="O25" s="15" t="str">
        <f t="shared" si="1"/>
        <v/>
      </c>
      <c r="P25" s="11" t="str">
        <f t="shared" si="2"/>
        <v/>
      </c>
    </row>
    <row r="26" spans="1:16" ht="25.05" customHeight="1">
      <c r="A26" s="7"/>
      <c r="B26" s="7"/>
      <c r="C26" s="7"/>
      <c r="D26" s="7"/>
      <c r="E26" s="13"/>
      <c r="F26" s="19"/>
      <c r="G26" s="14"/>
      <c r="H26" s="14"/>
      <c r="I26" s="7"/>
      <c r="J26" s="7"/>
      <c r="K26" s="8"/>
      <c r="L26" s="7"/>
      <c r="M26" s="7"/>
      <c r="N26" s="15" t="str">
        <f t="shared" si="0"/>
        <v/>
      </c>
      <c r="O26" s="15" t="str">
        <f t="shared" si="1"/>
        <v/>
      </c>
      <c r="P26" s="11" t="str">
        <f t="shared" si="2"/>
        <v/>
      </c>
    </row>
    <row r="27" spans="1:16" ht="25.05" customHeight="1">
      <c r="A27" s="7"/>
      <c r="B27" s="7"/>
      <c r="C27" s="7"/>
      <c r="D27" s="7"/>
      <c r="E27" s="13"/>
      <c r="F27" s="19"/>
      <c r="G27" s="14"/>
      <c r="H27" s="14"/>
      <c r="I27" s="7"/>
      <c r="J27" s="7"/>
      <c r="K27" s="8"/>
      <c r="L27" s="7"/>
      <c r="M27" s="7"/>
      <c r="N27" s="15" t="str">
        <f t="shared" si="0"/>
        <v/>
      </c>
      <c r="O27" s="15" t="str">
        <f t="shared" si="1"/>
        <v/>
      </c>
      <c r="P27" s="11" t="str">
        <f t="shared" si="2"/>
        <v/>
      </c>
    </row>
    <row r="28" spans="1:16" ht="25.05" customHeight="1">
      <c r="A28" s="7"/>
      <c r="B28" s="7"/>
      <c r="C28" s="7"/>
      <c r="D28" s="7"/>
      <c r="E28" s="13"/>
      <c r="F28" s="19"/>
      <c r="G28" s="14"/>
      <c r="H28" s="14"/>
      <c r="I28" s="7"/>
      <c r="J28" s="7"/>
      <c r="K28" s="8"/>
      <c r="L28" s="7"/>
      <c r="M28" s="7"/>
      <c r="N28" s="15" t="str">
        <f t="shared" si="0"/>
        <v/>
      </c>
      <c r="O28" s="15" t="str">
        <f t="shared" si="1"/>
        <v/>
      </c>
      <c r="P28" s="11" t="str">
        <f t="shared" si="2"/>
        <v/>
      </c>
    </row>
    <row r="29" spans="1:16" ht="25.05" customHeight="1">
      <c r="A29" s="7"/>
      <c r="B29" s="7"/>
      <c r="C29" s="7"/>
      <c r="D29" s="7"/>
      <c r="E29" s="13"/>
      <c r="F29" s="19"/>
      <c r="G29" s="14"/>
      <c r="H29" s="14"/>
      <c r="I29" s="7"/>
      <c r="J29" s="7"/>
      <c r="K29" s="8"/>
      <c r="L29" s="7"/>
      <c r="M29" s="7"/>
      <c r="N29" s="15" t="str">
        <f t="shared" si="0"/>
        <v/>
      </c>
      <c r="O29" s="15" t="str">
        <f t="shared" si="1"/>
        <v/>
      </c>
      <c r="P29" s="11" t="str">
        <f t="shared" si="2"/>
        <v/>
      </c>
    </row>
    <row r="30" spans="1:16" ht="25.05" customHeight="1">
      <c r="A30" s="7"/>
      <c r="B30" s="7"/>
      <c r="C30" s="7"/>
      <c r="D30" s="7"/>
      <c r="E30" s="13"/>
      <c r="F30" s="19"/>
      <c r="G30" s="14"/>
      <c r="H30" s="14"/>
      <c r="I30" s="7"/>
      <c r="J30" s="7"/>
      <c r="K30" s="8"/>
      <c r="L30" s="7"/>
      <c r="M30" s="7"/>
      <c r="N30" s="15" t="str">
        <f t="shared" si="0"/>
        <v/>
      </c>
      <c r="O30" s="15" t="str">
        <f t="shared" si="1"/>
        <v/>
      </c>
      <c r="P30" s="11" t="str">
        <f t="shared" si="2"/>
        <v/>
      </c>
    </row>
    <row r="31" spans="1:16" ht="25.05" customHeight="1">
      <c r="A31" s="7"/>
      <c r="B31" s="7"/>
      <c r="C31" s="7"/>
      <c r="D31" s="7"/>
      <c r="E31" s="13"/>
      <c r="F31" s="19"/>
      <c r="G31" s="14"/>
      <c r="H31" s="14"/>
      <c r="I31" s="7"/>
      <c r="J31" s="7"/>
      <c r="K31" s="8"/>
      <c r="L31" s="7"/>
      <c r="M31" s="7"/>
      <c r="N31" s="15" t="str">
        <f t="shared" si="0"/>
        <v/>
      </c>
      <c r="O31" s="15" t="str">
        <f t="shared" si="1"/>
        <v/>
      </c>
      <c r="P31" s="11" t="str">
        <f t="shared" si="2"/>
        <v/>
      </c>
    </row>
    <row r="32" spans="1:16" ht="25.05" customHeight="1">
      <c r="A32" s="7"/>
      <c r="B32" s="7"/>
      <c r="C32" s="7"/>
      <c r="D32" s="7"/>
      <c r="E32" s="13"/>
      <c r="F32" s="19"/>
      <c r="G32" s="14"/>
      <c r="H32" s="14"/>
      <c r="I32" s="7"/>
      <c r="J32" s="7"/>
      <c r="K32" s="8"/>
      <c r="L32" s="7"/>
      <c r="M32" s="7"/>
      <c r="N32" s="15" t="str">
        <f t="shared" si="0"/>
        <v/>
      </c>
      <c r="O32" s="15" t="str">
        <f t="shared" si="1"/>
        <v/>
      </c>
      <c r="P32" s="11" t="str">
        <f t="shared" si="2"/>
        <v/>
      </c>
    </row>
    <row r="33" spans="1:16" ht="25.05" customHeight="1">
      <c r="A33" s="7"/>
      <c r="B33" s="7"/>
      <c r="C33" s="7"/>
      <c r="D33" s="7"/>
      <c r="E33" s="13"/>
      <c r="F33" s="19"/>
      <c r="G33" s="14"/>
      <c r="H33" s="14"/>
      <c r="I33" s="7"/>
      <c r="J33" s="7"/>
      <c r="K33" s="8"/>
      <c r="L33" s="7"/>
      <c r="M33" s="7"/>
      <c r="N33" s="15" t="str">
        <f t="shared" si="0"/>
        <v/>
      </c>
      <c r="O33" s="15" t="str">
        <f t="shared" si="1"/>
        <v/>
      </c>
      <c r="P33" s="11" t="str">
        <f t="shared" si="2"/>
        <v/>
      </c>
    </row>
    <row r="34" spans="1:16" ht="25.05" customHeight="1">
      <c r="A34" s="7"/>
      <c r="B34" s="7"/>
      <c r="C34" s="7"/>
      <c r="D34" s="7"/>
      <c r="E34" s="13"/>
      <c r="F34" s="19"/>
      <c r="G34" s="14"/>
      <c r="H34" s="14"/>
      <c r="I34" s="7"/>
      <c r="J34" s="7"/>
      <c r="K34" s="8"/>
      <c r="L34" s="7"/>
      <c r="M34" s="7"/>
      <c r="N34" s="15" t="str">
        <f t="shared" si="0"/>
        <v/>
      </c>
      <c r="O34" s="15" t="str">
        <f t="shared" si="1"/>
        <v/>
      </c>
      <c r="P34" s="11" t="str">
        <f t="shared" si="2"/>
        <v/>
      </c>
    </row>
    <row r="35" spans="1:16" ht="25.05" customHeight="1">
      <c r="A35" s="7"/>
      <c r="B35" s="7"/>
      <c r="C35" s="7"/>
      <c r="D35" s="7"/>
      <c r="E35" s="13"/>
      <c r="F35" s="19"/>
      <c r="G35" s="14"/>
      <c r="H35" s="14"/>
      <c r="I35" s="7"/>
      <c r="J35" s="7"/>
      <c r="K35" s="8"/>
      <c r="L35" s="7"/>
      <c r="M35" s="7"/>
      <c r="N35" s="15" t="str">
        <f t="shared" si="0"/>
        <v/>
      </c>
      <c r="O35" s="15" t="str">
        <f t="shared" si="1"/>
        <v/>
      </c>
      <c r="P35" s="11" t="str">
        <f t="shared" si="2"/>
        <v/>
      </c>
    </row>
    <row r="36" spans="1:16" ht="25.05" customHeight="1">
      <c r="A36" s="7"/>
      <c r="B36" s="7"/>
      <c r="C36" s="7"/>
      <c r="D36" s="7"/>
      <c r="E36" s="13"/>
      <c r="F36" s="19"/>
      <c r="G36" s="14"/>
      <c r="H36" s="14"/>
      <c r="I36" s="7"/>
      <c r="J36" s="7"/>
      <c r="K36" s="8"/>
      <c r="L36" s="7"/>
      <c r="M36" s="7"/>
      <c r="N36" s="15" t="str">
        <f t="shared" si="0"/>
        <v/>
      </c>
      <c r="O36" s="15" t="str">
        <f t="shared" si="1"/>
        <v/>
      </c>
      <c r="P36" s="11" t="str">
        <f t="shared" si="2"/>
        <v/>
      </c>
    </row>
    <row r="37" spans="1:16" ht="25.05" customHeight="1">
      <c r="A37" s="7"/>
      <c r="B37" s="7"/>
      <c r="C37" s="7"/>
      <c r="D37" s="7"/>
      <c r="E37" s="13"/>
      <c r="F37" s="19"/>
      <c r="G37" s="14"/>
      <c r="H37" s="14"/>
      <c r="I37" s="7"/>
      <c r="J37" s="7"/>
      <c r="K37" s="8"/>
      <c r="L37" s="7"/>
      <c r="M37" s="7"/>
      <c r="N37" s="15" t="str">
        <f t="shared" si="0"/>
        <v/>
      </c>
      <c r="O37" s="15" t="str">
        <f t="shared" si="1"/>
        <v/>
      </c>
      <c r="P37" s="11" t="str">
        <f t="shared" si="2"/>
        <v/>
      </c>
    </row>
    <row r="38" spans="1:16" ht="25.05" customHeight="1">
      <c r="A38" s="7"/>
      <c r="B38" s="7"/>
      <c r="C38" s="7"/>
      <c r="D38" s="7"/>
      <c r="E38" s="13"/>
      <c r="F38" s="19"/>
      <c r="G38" s="14"/>
      <c r="H38" s="14"/>
      <c r="I38" s="7"/>
      <c r="J38" s="7"/>
      <c r="K38" s="8"/>
      <c r="L38" s="7"/>
      <c r="M38" s="7"/>
      <c r="N38" s="15" t="str">
        <f t="shared" ref="N38:N69" si="3">IF(A38="","",IF(COUNT(E38,G38)=2,ROUND(E38*G38,2),""))</f>
        <v/>
      </c>
      <c r="O38" s="15" t="str">
        <f t="shared" ref="O38:O69" si="4">IF(A38="","",IF(COUNT(E38,H38)=2,ROUND(E38*H38,2),""))</f>
        <v/>
      </c>
      <c r="P38" s="11" t="str">
        <f t="shared" ref="P38:P69" si="5">IF(COUNTBLANK(A38:M38)=13,"",IF(AND(A38&lt;&gt;"",B38&lt;&gt;"",C38&lt;&gt;"",D38&lt;&gt;"",COUNT(E38,G38:H38)=3,E38&gt;0,F38&lt;&gt;"",J38&lt;&gt;"",ISNUMBER(K38),OR(I38="Yes",I38="No"),OR(L38="Yes",L38="No"),OR(M38="Yes",M38="No")),"Review in PPO","Missing input"))</f>
        <v/>
      </c>
    </row>
    <row r="39" spans="1:16" ht="25.05" customHeight="1">
      <c r="A39" s="7"/>
      <c r="B39" s="7"/>
      <c r="C39" s="7"/>
      <c r="D39" s="7"/>
      <c r="E39" s="13"/>
      <c r="F39" s="19"/>
      <c r="G39" s="14"/>
      <c r="H39" s="14"/>
      <c r="I39" s="7"/>
      <c r="J39" s="7"/>
      <c r="K39" s="8"/>
      <c r="L39" s="7"/>
      <c r="M39" s="7"/>
      <c r="N39" s="15" t="str">
        <f t="shared" si="3"/>
        <v/>
      </c>
      <c r="O39" s="15" t="str">
        <f t="shared" si="4"/>
        <v/>
      </c>
      <c r="P39" s="11" t="str">
        <f t="shared" si="5"/>
        <v/>
      </c>
    </row>
    <row r="40" spans="1:16" ht="25.05" customHeight="1">
      <c r="A40" s="7"/>
      <c r="B40" s="7"/>
      <c r="C40" s="7"/>
      <c r="D40" s="7"/>
      <c r="E40" s="13"/>
      <c r="F40" s="19"/>
      <c r="G40" s="14"/>
      <c r="H40" s="14"/>
      <c r="I40" s="7"/>
      <c r="J40" s="7"/>
      <c r="K40" s="8"/>
      <c r="L40" s="7"/>
      <c r="M40" s="7"/>
      <c r="N40" s="15" t="str">
        <f t="shared" si="3"/>
        <v/>
      </c>
      <c r="O40" s="15" t="str">
        <f t="shared" si="4"/>
        <v/>
      </c>
      <c r="P40" s="11" t="str">
        <f t="shared" si="5"/>
        <v/>
      </c>
    </row>
    <row r="41" spans="1:16" ht="25.05" customHeight="1">
      <c r="A41" s="7"/>
      <c r="B41" s="7"/>
      <c r="C41" s="7"/>
      <c r="D41" s="7"/>
      <c r="E41" s="13"/>
      <c r="F41" s="19"/>
      <c r="G41" s="14"/>
      <c r="H41" s="14"/>
      <c r="I41" s="7"/>
      <c r="J41" s="7"/>
      <c r="K41" s="8"/>
      <c r="L41" s="7"/>
      <c r="M41" s="7"/>
      <c r="N41" s="15" t="str">
        <f t="shared" si="3"/>
        <v/>
      </c>
      <c r="O41" s="15" t="str">
        <f t="shared" si="4"/>
        <v/>
      </c>
      <c r="P41" s="11" t="str">
        <f t="shared" si="5"/>
        <v/>
      </c>
    </row>
    <row r="42" spans="1:16" ht="25.05" customHeight="1">
      <c r="A42" s="7"/>
      <c r="B42" s="7"/>
      <c r="C42" s="7"/>
      <c r="D42" s="7"/>
      <c r="E42" s="13"/>
      <c r="F42" s="19"/>
      <c r="G42" s="14"/>
      <c r="H42" s="14"/>
      <c r="I42" s="7"/>
      <c r="J42" s="7"/>
      <c r="K42" s="8"/>
      <c r="L42" s="7"/>
      <c r="M42" s="7"/>
      <c r="N42" s="15" t="str">
        <f t="shared" si="3"/>
        <v/>
      </c>
      <c r="O42" s="15" t="str">
        <f t="shared" si="4"/>
        <v/>
      </c>
      <c r="P42" s="11" t="str">
        <f t="shared" si="5"/>
        <v/>
      </c>
    </row>
    <row r="43" spans="1:16" ht="25.05" customHeight="1">
      <c r="A43" s="7"/>
      <c r="B43" s="7"/>
      <c r="C43" s="7"/>
      <c r="D43" s="7"/>
      <c r="E43" s="13"/>
      <c r="F43" s="19"/>
      <c r="G43" s="14"/>
      <c r="H43" s="14"/>
      <c r="I43" s="7"/>
      <c r="J43" s="7"/>
      <c r="K43" s="8"/>
      <c r="L43" s="7"/>
      <c r="M43" s="7"/>
      <c r="N43" s="15" t="str">
        <f t="shared" si="3"/>
        <v/>
      </c>
      <c r="O43" s="15" t="str">
        <f t="shared" si="4"/>
        <v/>
      </c>
      <c r="P43" s="11" t="str">
        <f t="shared" si="5"/>
        <v/>
      </c>
    </row>
    <row r="44" spans="1:16" ht="25.05" customHeight="1">
      <c r="A44" s="7"/>
      <c r="B44" s="7"/>
      <c r="C44" s="7"/>
      <c r="D44" s="7"/>
      <c r="E44" s="13"/>
      <c r="F44" s="19"/>
      <c r="G44" s="14"/>
      <c r="H44" s="14"/>
      <c r="I44" s="7"/>
      <c r="J44" s="7"/>
      <c r="K44" s="8"/>
      <c r="L44" s="7"/>
      <c r="M44" s="7"/>
      <c r="N44" s="15" t="str">
        <f t="shared" si="3"/>
        <v/>
      </c>
      <c r="O44" s="15" t="str">
        <f t="shared" si="4"/>
        <v/>
      </c>
      <c r="P44" s="11" t="str">
        <f t="shared" si="5"/>
        <v/>
      </c>
    </row>
    <row r="45" spans="1:16" ht="25.05" customHeight="1">
      <c r="A45" s="7"/>
      <c r="B45" s="7"/>
      <c r="C45" s="7"/>
      <c r="D45" s="7"/>
      <c r="E45" s="13"/>
      <c r="F45" s="19"/>
      <c r="G45" s="14"/>
      <c r="H45" s="14"/>
      <c r="I45" s="7"/>
      <c r="J45" s="7"/>
      <c r="K45" s="8"/>
      <c r="L45" s="7"/>
      <c r="M45" s="7"/>
      <c r="N45" s="15" t="str">
        <f t="shared" si="3"/>
        <v/>
      </c>
      <c r="O45" s="15" t="str">
        <f t="shared" si="4"/>
        <v/>
      </c>
      <c r="P45" s="11" t="str">
        <f t="shared" si="5"/>
        <v/>
      </c>
    </row>
    <row r="46" spans="1:16" ht="25.05" customHeight="1">
      <c r="A46" s="7"/>
      <c r="B46" s="7"/>
      <c r="C46" s="7"/>
      <c r="D46" s="7"/>
      <c r="E46" s="13"/>
      <c r="F46" s="19"/>
      <c r="G46" s="14"/>
      <c r="H46" s="14"/>
      <c r="I46" s="7"/>
      <c r="J46" s="7"/>
      <c r="K46" s="8"/>
      <c r="L46" s="7"/>
      <c r="M46" s="7"/>
      <c r="N46" s="15" t="str">
        <f t="shared" si="3"/>
        <v/>
      </c>
      <c r="O46" s="15" t="str">
        <f t="shared" si="4"/>
        <v/>
      </c>
      <c r="P46" s="11" t="str">
        <f t="shared" si="5"/>
        <v/>
      </c>
    </row>
    <row r="47" spans="1:16" ht="25.05" customHeight="1">
      <c r="A47" s="7"/>
      <c r="B47" s="7"/>
      <c r="C47" s="7"/>
      <c r="D47" s="7"/>
      <c r="E47" s="13"/>
      <c r="F47" s="19"/>
      <c r="G47" s="14"/>
      <c r="H47" s="14"/>
      <c r="I47" s="7"/>
      <c r="J47" s="7"/>
      <c r="K47" s="8"/>
      <c r="L47" s="7"/>
      <c r="M47" s="7"/>
      <c r="N47" s="15" t="str">
        <f t="shared" si="3"/>
        <v/>
      </c>
      <c r="O47" s="15" t="str">
        <f t="shared" si="4"/>
        <v/>
      </c>
      <c r="P47" s="11" t="str">
        <f t="shared" si="5"/>
        <v/>
      </c>
    </row>
    <row r="48" spans="1:16" ht="25.05" customHeight="1">
      <c r="A48" s="7"/>
      <c r="B48" s="7"/>
      <c r="C48" s="7"/>
      <c r="D48" s="7"/>
      <c r="E48" s="13"/>
      <c r="F48" s="19"/>
      <c r="G48" s="14"/>
      <c r="H48" s="14"/>
      <c r="I48" s="7"/>
      <c r="J48" s="7"/>
      <c r="K48" s="8"/>
      <c r="L48" s="7"/>
      <c r="M48" s="7"/>
      <c r="N48" s="15" t="str">
        <f t="shared" si="3"/>
        <v/>
      </c>
      <c r="O48" s="15" t="str">
        <f t="shared" si="4"/>
        <v/>
      </c>
      <c r="P48" s="11" t="str">
        <f t="shared" si="5"/>
        <v/>
      </c>
    </row>
    <row r="49" spans="1:16" ht="25.05" customHeight="1">
      <c r="A49" s="7"/>
      <c r="B49" s="7"/>
      <c r="C49" s="7"/>
      <c r="D49" s="7"/>
      <c r="E49" s="13"/>
      <c r="F49" s="19"/>
      <c r="G49" s="14"/>
      <c r="H49" s="14"/>
      <c r="I49" s="7"/>
      <c r="J49" s="7"/>
      <c r="K49" s="8"/>
      <c r="L49" s="7"/>
      <c r="M49" s="7"/>
      <c r="N49" s="15" t="str">
        <f t="shared" si="3"/>
        <v/>
      </c>
      <c r="O49" s="15" t="str">
        <f t="shared" si="4"/>
        <v/>
      </c>
      <c r="P49" s="11" t="str">
        <f t="shared" si="5"/>
        <v/>
      </c>
    </row>
    <row r="50" spans="1:16" ht="25.05" customHeight="1">
      <c r="A50" s="7"/>
      <c r="B50" s="7"/>
      <c r="C50" s="7"/>
      <c r="D50" s="7"/>
      <c r="E50" s="13"/>
      <c r="F50" s="19"/>
      <c r="G50" s="14"/>
      <c r="H50" s="14"/>
      <c r="I50" s="7"/>
      <c r="J50" s="7"/>
      <c r="K50" s="8"/>
      <c r="L50" s="7"/>
      <c r="M50" s="7"/>
      <c r="N50" s="15" t="str">
        <f t="shared" si="3"/>
        <v/>
      </c>
      <c r="O50" s="15" t="str">
        <f t="shared" si="4"/>
        <v/>
      </c>
      <c r="P50" s="11" t="str">
        <f t="shared" si="5"/>
        <v/>
      </c>
    </row>
    <row r="51" spans="1:16" ht="25.05" customHeight="1">
      <c r="A51" s="7"/>
      <c r="B51" s="7"/>
      <c r="C51" s="7"/>
      <c r="D51" s="7"/>
      <c r="E51" s="13"/>
      <c r="F51" s="19"/>
      <c r="G51" s="14"/>
      <c r="H51" s="14"/>
      <c r="I51" s="7"/>
      <c r="J51" s="7"/>
      <c r="K51" s="8"/>
      <c r="L51" s="7"/>
      <c r="M51" s="7"/>
      <c r="N51" s="15" t="str">
        <f t="shared" si="3"/>
        <v/>
      </c>
      <c r="O51" s="15" t="str">
        <f t="shared" si="4"/>
        <v/>
      </c>
      <c r="P51" s="11" t="str">
        <f t="shared" si="5"/>
        <v/>
      </c>
    </row>
    <row r="52" spans="1:16" ht="25.05" customHeight="1">
      <c r="A52" s="7"/>
      <c r="B52" s="7"/>
      <c r="C52" s="7"/>
      <c r="D52" s="7"/>
      <c r="E52" s="13"/>
      <c r="F52" s="19"/>
      <c r="G52" s="14"/>
      <c r="H52" s="14"/>
      <c r="I52" s="7"/>
      <c r="J52" s="7"/>
      <c r="K52" s="8"/>
      <c r="L52" s="7"/>
      <c r="M52" s="7"/>
      <c r="N52" s="15" t="str">
        <f t="shared" si="3"/>
        <v/>
      </c>
      <c r="O52" s="15" t="str">
        <f t="shared" si="4"/>
        <v/>
      </c>
      <c r="P52" s="11" t="str">
        <f t="shared" si="5"/>
        <v/>
      </c>
    </row>
    <row r="53" spans="1:16" ht="25.05" customHeight="1">
      <c r="A53" s="7"/>
      <c r="B53" s="7"/>
      <c r="C53" s="7"/>
      <c r="D53" s="7"/>
      <c r="E53" s="13"/>
      <c r="F53" s="19"/>
      <c r="G53" s="14"/>
      <c r="H53" s="14"/>
      <c r="I53" s="7"/>
      <c r="J53" s="7"/>
      <c r="K53" s="8"/>
      <c r="L53" s="7"/>
      <c r="M53" s="7"/>
      <c r="N53" s="15" t="str">
        <f t="shared" si="3"/>
        <v/>
      </c>
      <c r="O53" s="15" t="str">
        <f t="shared" si="4"/>
        <v/>
      </c>
      <c r="P53" s="11" t="str">
        <f t="shared" si="5"/>
        <v/>
      </c>
    </row>
    <row r="54" spans="1:16" ht="25.05" customHeight="1">
      <c r="A54" s="7"/>
      <c r="B54" s="7"/>
      <c r="C54" s="7"/>
      <c r="D54" s="7"/>
      <c r="E54" s="13"/>
      <c r="F54" s="19"/>
      <c r="G54" s="14"/>
      <c r="H54" s="14"/>
      <c r="I54" s="7"/>
      <c r="J54" s="7"/>
      <c r="K54" s="8"/>
      <c r="L54" s="7"/>
      <c r="M54" s="7"/>
      <c r="N54" s="15" t="str">
        <f t="shared" si="3"/>
        <v/>
      </c>
      <c r="O54" s="15" t="str">
        <f t="shared" si="4"/>
        <v/>
      </c>
      <c r="P54" s="11" t="str">
        <f t="shared" si="5"/>
        <v/>
      </c>
    </row>
    <row r="55" spans="1:16" ht="25.05" customHeight="1">
      <c r="A55" s="7"/>
      <c r="B55" s="7"/>
      <c r="C55" s="7"/>
      <c r="D55" s="7"/>
      <c r="E55" s="13"/>
      <c r="F55" s="19"/>
      <c r="G55" s="14"/>
      <c r="H55" s="14"/>
      <c r="I55" s="7"/>
      <c r="J55" s="7"/>
      <c r="K55" s="8"/>
      <c r="L55" s="7"/>
      <c r="M55" s="7"/>
      <c r="N55" s="15" t="str">
        <f t="shared" si="3"/>
        <v/>
      </c>
      <c r="O55" s="15" t="str">
        <f t="shared" si="4"/>
        <v/>
      </c>
      <c r="P55" s="11" t="str">
        <f t="shared" si="5"/>
        <v/>
      </c>
    </row>
    <row r="56" spans="1:16" ht="25.05" customHeight="1">
      <c r="A56" s="7"/>
      <c r="B56" s="7"/>
      <c r="C56" s="7"/>
      <c r="D56" s="7"/>
      <c r="E56" s="13"/>
      <c r="F56" s="19"/>
      <c r="G56" s="14"/>
      <c r="H56" s="14"/>
      <c r="I56" s="7"/>
      <c r="J56" s="7"/>
      <c r="K56" s="8"/>
      <c r="L56" s="7"/>
      <c r="M56" s="7"/>
      <c r="N56" s="15" t="str">
        <f t="shared" si="3"/>
        <v/>
      </c>
      <c r="O56" s="15" t="str">
        <f t="shared" si="4"/>
        <v/>
      </c>
      <c r="P56" s="11" t="str">
        <f t="shared" si="5"/>
        <v/>
      </c>
    </row>
    <row r="57" spans="1:16" ht="25.05" customHeight="1">
      <c r="A57" s="7"/>
      <c r="B57" s="7"/>
      <c r="C57" s="7"/>
      <c r="D57" s="7"/>
      <c r="E57" s="13"/>
      <c r="F57" s="19"/>
      <c r="G57" s="14"/>
      <c r="H57" s="14"/>
      <c r="I57" s="7"/>
      <c r="J57" s="7"/>
      <c r="K57" s="8"/>
      <c r="L57" s="7"/>
      <c r="M57" s="7"/>
      <c r="N57" s="15" t="str">
        <f t="shared" si="3"/>
        <v/>
      </c>
      <c r="O57" s="15" t="str">
        <f t="shared" si="4"/>
        <v/>
      </c>
      <c r="P57" s="11" t="str">
        <f t="shared" si="5"/>
        <v/>
      </c>
    </row>
    <row r="58" spans="1:16" ht="25.05" customHeight="1">
      <c r="A58" s="7"/>
      <c r="B58" s="7"/>
      <c r="C58" s="7"/>
      <c r="D58" s="7"/>
      <c r="E58" s="13"/>
      <c r="F58" s="19"/>
      <c r="G58" s="14"/>
      <c r="H58" s="14"/>
      <c r="I58" s="7"/>
      <c r="J58" s="7"/>
      <c r="K58" s="8"/>
      <c r="L58" s="7"/>
      <c r="M58" s="7"/>
      <c r="N58" s="15" t="str">
        <f t="shared" si="3"/>
        <v/>
      </c>
      <c r="O58" s="15" t="str">
        <f t="shared" si="4"/>
        <v/>
      </c>
      <c r="P58" s="11" t="str">
        <f t="shared" si="5"/>
        <v/>
      </c>
    </row>
    <row r="59" spans="1:16" ht="25.05" customHeight="1">
      <c r="A59" s="7"/>
      <c r="B59" s="7"/>
      <c r="C59" s="7"/>
      <c r="D59" s="7"/>
      <c r="E59" s="13"/>
      <c r="F59" s="19"/>
      <c r="G59" s="14"/>
      <c r="H59" s="14"/>
      <c r="I59" s="7"/>
      <c r="J59" s="7"/>
      <c r="K59" s="8"/>
      <c r="L59" s="7"/>
      <c r="M59" s="7"/>
      <c r="N59" s="15" t="str">
        <f t="shared" si="3"/>
        <v/>
      </c>
      <c r="O59" s="15" t="str">
        <f t="shared" si="4"/>
        <v/>
      </c>
      <c r="P59" s="11" t="str">
        <f t="shared" si="5"/>
        <v/>
      </c>
    </row>
    <row r="60" spans="1:16" ht="25.05" customHeight="1">
      <c r="A60" s="7"/>
      <c r="B60" s="7"/>
      <c r="C60" s="7"/>
      <c r="D60" s="7"/>
      <c r="E60" s="13"/>
      <c r="F60" s="19"/>
      <c r="G60" s="14"/>
      <c r="H60" s="14"/>
      <c r="I60" s="7"/>
      <c r="J60" s="7"/>
      <c r="K60" s="8"/>
      <c r="L60" s="7"/>
      <c r="M60" s="7"/>
      <c r="N60" s="15" t="str">
        <f t="shared" si="3"/>
        <v/>
      </c>
      <c r="O60" s="15" t="str">
        <f t="shared" si="4"/>
        <v/>
      </c>
      <c r="P60" s="11" t="str">
        <f t="shared" si="5"/>
        <v/>
      </c>
    </row>
    <row r="61" spans="1:16" ht="25.05" customHeight="1">
      <c r="A61" s="7"/>
      <c r="B61" s="7"/>
      <c r="C61" s="7"/>
      <c r="D61" s="7"/>
      <c r="E61" s="13"/>
      <c r="F61" s="19"/>
      <c r="G61" s="14"/>
      <c r="H61" s="14"/>
      <c r="I61" s="7"/>
      <c r="J61" s="7"/>
      <c r="K61" s="8"/>
      <c r="L61" s="7"/>
      <c r="M61" s="7"/>
      <c r="N61" s="15" t="str">
        <f t="shared" si="3"/>
        <v/>
      </c>
      <c r="O61" s="15" t="str">
        <f t="shared" si="4"/>
        <v/>
      </c>
      <c r="P61" s="11" t="str">
        <f t="shared" si="5"/>
        <v/>
      </c>
    </row>
    <row r="62" spans="1:16" ht="25.05" customHeight="1">
      <c r="A62" s="7"/>
      <c r="B62" s="7"/>
      <c r="C62" s="7"/>
      <c r="D62" s="7"/>
      <c r="E62" s="13"/>
      <c r="F62" s="19"/>
      <c r="G62" s="14"/>
      <c r="H62" s="14"/>
      <c r="I62" s="7"/>
      <c r="J62" s="7"/>
      <c r="K62" s="8"/>
      <c r="L62" s="7"/>
      <c r="M62" s="7"/>
      <c r="N62" s="15" t="str">
        <f t="shared" si="3"/>
        <v/>
      </c>
      <c r="O62" s="15" t="str">
        <f t="shared" si="4"/>
        <v/>
      </c>
      <c r="P62" s="11" t="str">
        <f t="shared" si="5"/>
        <v/>
      </c>
    </row>
    <row r="63" spans="1:16" ht="25.05" customHeight="1">
      <c r="A63" s="7"/>
      <c r="B63" s="7"/>
      <c r="C63" s="7"/>
      <c r="D63" s="7"/>
      <c r="E63" s="13"/>
      <c r="F63" s="19"/>
      <c r="G63" s="14"/>
      <c r="H63" s="14"/>
      <c r="I63" s="7"/>
      <c r="J63" s="7"/>
      <c r="K63" s="8"/>
      <c r="L63" s="7"/>
      <c r="M63" s="7"/>
      <c r="N63" s="15" t="str">
        <f t="shared" si="3"/>
        <v/>
      </c>
      <c r="O63" s="15" t="str">
        <f t="shared" si="4"/>
        <v/>
      </c>
      <c r="P63" s="11" t="str">
        <f t="shared" si="5"/>
        <v/>
      </c>
    </row>
    <row r="64" spans="1:16" ht="25.05" customHeight="1">
      <c r="A64" s="7"/>
      <c r="B64" s="7"/>
      <c r="C64" s="7"/>
      <c r="D64" s="7"/>
      <c r="E64" s="13"/>
      <c r="F64" s="19"/>
      <c r="G64" s="14"/>
      <c r="H64" s="14"/>
      <c r="I64" s="7"/>
      <c r="J64" s="7"/>
      <c r="K64" s="8"/>
      <c r="L64" s="7"/>
      <c r="M64" s="7"/>
      <c r="N64" s="15" t="str">
        <f t="shared" si="3"/>
        <v/>
      </c>
      <c r="O64" s="15" t="str">
        <f t="shared" si="4"/>
        <v/>
      </c>
      <c r="P64" s="11" t="str">
        <f t="shared" si="5"/>
        <v/>
      </c>
    </row>
    <row r="65" spans="1:16" ht="25.05" customHeight="1">
      <c r="A65" s="7"/>
      <c r="B65" s="7"/>
      <c r="C65" s="7"/>
      <c r="D65" s="7"/>
      <c r="E65" s="13"/>
      <c r="F65" s="19"/>
      <c r="G65" s="14"/>
      <c r="H65" s="14"/>
      <c r="I65" s="7"/>
      <c r="J65" s="7"/>
      <c r="K65" s="8"/>
      <c r="L65" s="7"/>
      <c r="M65" s="7"/>
      <c r="N65" s="15" t="str">
        <f t="shared" si="3"/>
        <v/>
      </c>
      <c r="O65" s="15" t="str">
        <f t="shared" si="4"/>
        <v/>
      </c>
      <c r="P65" s="11" t="str">
        <f t="shared" si="5"/>
        <v/>
      </c>
    </row>
    <row r="66" spans="1:16" ht="25.05" customHeight="1">
      <c r="A66" s="7"/>
      <c r="B66" s="7"/>
      <c r="C66" s="7"/>
      <c r="D66" s="7"/>
      <c r="E66" s="13"/>
      <c r="F66" s="19"/>
      <c r="G66" s="14"/>
      <c r="H66" s="14"/>
      <c r="I66" s="7"/>
      <c r="J66" s="7"/>
      <c r="K66" s="8"/>
      <c r="L66" s="7"/>
      <c r="M66" s="7"/>
      <c r="N66" s="15" t="str">
        <f t="shared" si="3"/>
        <v/>
      </c>
      <c r="O66" s="15" t="str">
        <f t="shared" si="4"/>
        <v/>
      </c>
      <c r="P66" s="11" t="str">
        <f t="shared" si="5"/>
        <v/>
      </c>
    </row>
    <row r="67" spans="1:16" ht="25.05" customHeight="1">
      <c r="A67" s="7"/>
      <c r="B67" s="7"/>
      <c r="C67" s="7"/>
      <c r="D67" s="7"/>
      <c r="E67" s="13"/>
      <c r="F67" s="19"/>
      <c r="G67" s="14"/>
      <c r="H67" s="14"/>
      <c r="I67" s="7"/>
      <c r="J67" s="7"/>
      <c r="K67" s="8"/>
      <c r="L67" s="7"/>
      <c r="M67" s="7"/>
      <c r="N67" s="15" t="str">
        <f t="shared" si="3"/>
        <v/>
      </c>
      <c r="O67" s="15" t="str">
        <f t="shared" si="4"/>
        <v/>
      </c>
      <c r="P67" s="11" t="str">
        <f t="shared" si="5"/>
        <v/>
      </c>
    </row>
    <row r="68" spans="1:16" ht="25.05" customHeight="1">
      <c r="A68" s="7"/>
      <c r="B68" s="7"/>
      <c r="C68" s="7"/>
      <c r="D68" s="7"/>
      <c r="E68" s="13"/>
      <c r="F68" s="19"/>
      <c r="G68" s="14"/>
      <c r="H68" s="14"/>
      <c r="I68" s="7"/>
      <c r="J68" s="7"/>
      <c r="K68" s="8"/>
      <c r="L68" s="7"/>
      <c r="M68" s="7"/>
      <c r="N68" s="15" t="str">
        <f t="shared" si="3"/>
        <v/>
      </c>
      <c r="O68" s="15" t="str">
        <f t="shared" si="4"/>
        <v/>
      </c>
      <c r="P68" s="11" t="str">
        <f t="shared" si="5"/>
        <v/>
      </c>
    </row>
    <row r="69" spans="1:16" ht="25.05" customHeight="1">
      <c r="A69" s="7"/>
      <c r="B69" s="7"/>
      <c r="C69" s="7"/>
      <c r="D69" s="7"/>
      <c r="E69" s="13"/>
      <c r="F69" s="19"/>
      <c r="G69" s="14"/>
      <c r="H69" s="14"/>
      <c r="I69" s="7"/>
      <c r="J69" s="7"/>
      <c r="K69" s="8"/>
      <c r="L69" s="7"/>
      <c r="M69" s="7"/>
      <c r="N69" s="15" t="str">
        <f t="shared" si="3"/>
        <v/>
      </c>
      <c r="O69" s="15" t="str">
        <f t="shared" si="4"/>
        <v/>
      </c>
      <c r="P69" s="11" t="str">
        <f t="shared" si="5"/>
        <v/>
      </c>
    </row>
    <row r="70" spans="1:16" ht="25.05" customHeight="1">
      <c r="A70" s="7"/>
      <c r="B70" s="7"/>
      <c r="C70" s="7"/>
      <c r="D70" s="7"/>
      <c r="E70" s="13"/>
      <c r="F70" s="19"/>
      <c r="G70" s="14"/>
      <c r="H70" s="14"/>
      <c r="I70" s="7"/>
      <c r="J70" s="7"/>
      <c r="K70" s="8"/>
      <c r="L70" s="7"/>
      <c r="M70" s="7"/>
      <c r="N70" s="15" t="str">
        <f t="shared" ref="N70:N105" si="6">IF(A70="","",IF(COUNT(E70,G70)=2,ROUND(E70*G70,2),""))</f>
        <v/>
      </c>
      <c r="O70" s="15" t="str">
        <f t="shared" ref="O70:O105" si="7">IF(A70="","",IF(COUNT(E70,H70)=2,ROUND(E70*H70,2),""))</f>
        <v/>
      </c>
      <c r="P70" s="11" t="str">
        <f t="shared" ref="P70:P105" si="8">IF(COUNTBLANK(A70:M70)=13,"",IF(AND(A70&lt;&gt;"",B70&lt;&gt;"",C70&lt;&gt;"",D70&lt;&gt;"",COUNT(E70,G70:H70)=3,E70&gt;0,F70&lt;&gt;"",J70&lt;&gt;"",ISNUMBER(K70),OR(I70="Yes",I70="No"),OR(L70="Yes",L70="No"),OR(M70="Yes",M70="No")),"Review in PPO","Missing input"))</f>
        <v/>
      </c>
    </row>
    <row r="71" spans="1:16" ht="25.05" customHeight="1">
      <c r="A71" s="7"/>
      <c r="B71" s="7"/>
      <c r="C71" s="7"/>
      <c r="D71" s="7"/>
      <c r="E71" s="13"/>
      <c r="F71" s="19"/>
      <c r="G71" s="14"/>
      <c r="H71" s="14"/>
      <c r="I71" s="7"/>
      <c r="J71" s="7"/>
      <c r="K71" s="8"/>
      <c r="L71" s="7"/>
      <c r="M71" s="7"/>
      <c r="N71" s="15" t="str">
        <f t="shared" si="6"/>
        <v/>
      </c>
      <c r="O71" s="15" t="str">
        <f t="shared" si="7"/>
        <v/>
      </c>
      <c r="P71" s="11" t="str">
        <f t="shared" si="8"/>
        <v/>
      </c>
    </row>
    <row r="72" spans="1:16" ht="25.05" customHeight="1">
      <c r="A72" s="7"/>
      <c r="B72" s="7"/>
      <c r="C72" s="7"/>
      <c r="D72" s="7"/>
      <c r="E72" s="13"/>
      <c r="F72" s="19"/>
      <c r="G72" s="14"/>
      <c r="H72" s="14"/>
      <c r="I72" s="7"/>
      <c r="J72" s="7"/>
      <c r="K72" s="8"/>
      <c r="L72" s="7"/>
      <c r="M72" s="7"/>
      <c r="N72" s="15" t="str">
        <f t="shared" si="6"/>
        <v/>
      </c>
      <c r="O72" s="15" t="str">
        <f t="shared" si="7"/>
        <v/>
      </c>
      <c r="P72" s="11" t="str">
        <f t="shared" si="8"/>
        <v/>
      </c>
    </row>
    <row r="73" spans="1:16" ht="25.05" customHeight="1">
      <c r="A73" s="7"/>
      <c r="B73" s="7"/>
      <c r="C73" s="7"/>
      <c r="D73" s="7"/>
      <c r="E73" s="13"/>
      <c r="F73" s="19"/>
      <c r="G73" s="14"/>
      <c r="H73" s="14"/>
      <c r="I73" s="7"/>
      <c r="J73" s="7"/>
      <c r="K73" s="8"/>
      <c r="L73" s="7"/>
      <c r="M73" s="7"/>
      <c r="N73" s="15" t="str">
        <f t="shared" si="6"/>
        <v/>
      </c>
      <c r="O73" s="15" t="str">
        <f t="shared" si="7"/>
        <v/>
      </c>
      <c r="P73" s="11" t="str">
        <f t="shared" si="8"/>
        <v/>
      </c>
    </row>
    <row r="74" spans="1:16" ht="25.05" customHeight="1">
      <c r="A74" s="7"/>
      <c r="B74" s="7"/>
      <c r="C74" s="7"/>
      <c r="D74" s="7"/>
      <c r="E74" s="13"/>
      <c r="F74" s="19"/>
      <c r="G74" s="14"/>
      <c r="H74" s="14"/>
      <c r="I74" s="7"/>
      <c r="J74" s="7"/>
      <c r="K74" s="8"/>
      <c r="L74" s="7"/>
      <c r="M74" s="7"/>
      <c r="N74" s="15" t="str">
        <f t="shared" si="6"/>
        <v/>
      </c>
      <c r="O74" s="15" t="str">
        <f t="shared" si="7"/>
        <v/>
      </c>
      <c r="P74" s="11" t="str">
        <f t="shared" si="8"/>
        <v/>
      </c>
    </row>
    <row r="75" spans="1:16" ht="25.05" customHeight="1">
      <c r="A75" s="7"/>
      <c r="B75" s="7"/>
      <c r="C75" s="7"/>
      <c r="D75" s="7"/>
      <c r="E75" s="13"/>
      <c r="F75" s="19"/>
      <c r="G75" s="14"/>
      <c r="H75" s="14"/>
      <c r="I75" s="7"/>
      <c r="J75" s="7"/>
      <c r="K75" s="8"/>
      <c r="L75" s="7"/>
      <c r="M75" s="7"/>
      <c r="N75" s="15" t="str">
        <f t="shared" si="6"/>
        <v/>
      </c>
      <c r="O75" s="15" t="str">
        <f t="shared" si="7"/>
        <v/>
      </c>
      <c r="P75" s="11" t="str">
        <f t="shared" si="8"/>
        <v/>
      </c>
    </row>
    <row r="76" spans="1:16" ht="25.05" customHeight="1">
      <c r="A76" s="7"/>
      <c r="B76" s="7"/>
      <c r="C76" s="7"/>
      <c r="D76" s="7"/>
      <c r="E76" s="13"/>
      <c r="F76" s="19"/>
      <c r="G76" s="14"/>
      <c r="H76" s="14"/>
      <c r="I76" s="7"/>
      <c r="J76" s="7"/>
      <c r="K76" s="8"/>
      <c r="L76" s="7"/>
      <c r="M76" s="7"/>
      <c r="N76" s="15" t="str">
        <f t="shared" si="6"/>
        <v/>
      </c>
      <c r="O76" s="15" t="str">
        <f t="shared" si="7"/>
        <v/>
      </c>
      <c r="P76" s="11" t="str">
        <f t="shared" si="8"/>
        <v/>
      </c>
    </row>
    <row r="77" spans="1:16" ht="25.05" customHeight="1">
      <c r="A77" s="7"/>
      <c r="B77" s="7"/>
      <c r="C77" s="7"/>
      <c r="D77" s="7"/>
      <c r="E77" s="13"/>
      <c r="F77" s="19"/>
      <c r="G77" s="14"/>
      <c r="H77" s="14"/>
      <c r="I77" s="7"/>
      <c r="J77" s="7"/>
      <c r="K77" s="8"/>
      <c r="L77" s="7"/>
      <c r="M77" s="7"/>
      <c r="N77" s="15" t="str">
        <f t="shared" si="6"/>
        <v/>
      </c>
      <c r="O77" s="15" t="str">
        <f t="shared" si="7"/>
        <v/>
      </c>
      <c r="P77" s="11" t="str">
        <f t="shared" si="8"/>
        <v/>
      </c>
    </row>
    <row r="78" spans="1:16" ht="25.05" customHeight="1">
      <c r="A78" s="7"/>
      <c r="B78" s="7"/>
      <c r="C78" s="7"/>
      <c r="D78" s="7"/>
      <c r="E78" s="13"/>
      <c r="F78" s="19"/>
      <c r="G78" s="14"/>
      <c r="H78" s="14"/>
      <c r="I78" s="7"/>
      <c r="J78" s="7"/>
      <c r="K78" s="8"/>
      <c r="L78" s="7"/>
      <c r="M78" s="7"/>
      <c r="N78" s="15" t="str">
        <f t="shared" si="6"/>
        <v/>
      </c>
      <c r="O78" s="15" t="str">
        <f t="shared" si="7"/>
        <v/>
      </c>
      <c r="P78" s="11" t="str">
        <f t="shared" si="8"/>
        <v/>
      </c>
    </row>
    <row r="79" spans="1:16" ht="25.05" customHeight="1">
      <c r="A79" s="7"/>
      <c r="B79" s="7"/>
      <c r="C79" s="7"/>
      <c r="D79" s="7"/>
      <c r="E79" s="13"/>
      <c r="F79" s="19"/>
      <c r="G79" s="14"/>
      <c r="H79" s="14"/>
      <c r="I79" s="7"/>
      <c r="J79" s="7"/>
      <c r="K79" s="8"/>
      <c r="L79" s="7"/>
      <c r="M79" s="7"/>
      <c r="N79" s="15" t="str">
        <f t="shared" si="6"/>
        <v/>
      </c>
      <c r="O79" s="15" t="str">
        <f t="shared" si="7"/>
        <v/>
      </c>
      <c r="P79" s="11" t="str">
        <f t="shared" si="8"/>
        <v/>
      </c>
    </row>
    <row r="80" spans="1:16" ht="25.05" customHeight="1">
      <c r="A80" s="7"/>
      <c r="B80" s="7"/>
      <c r="C80" s="7"/>
      <c r="D80" s="7"/>
      <c r="E80" s="13"/>
      <c r="F80" s="19"/>
      <c r="G80" s="14"/>
      <c r="H80" s="14"/>
      <c r="I80" s="7"/>
      <c r="J80" s="7"/>
      <c r="K80" s="8"/>
      <c r="L80" s="7"/>
      <c r="M80" s="7"/>
      <c r="N80" s="15" t="str">
        <f t="shared" si="6"/>
        <v/>
      </c>
      <c r="O80" s="15" t="str">
        <f t="shared" si="7"/>
        <v/>
      </c>
      <c r="P80" s="11" t="str">
        <f t="shared" si="8"/>
        <v/>
      </c>
    </row>
    <row r="81" spans="1:16" ht="25.05" customHeight="1">
      <c r="A81" s="7"/>
      <c r="B81" s="7"/>
      <c r="C81" s="7"/>
      <c r="D81" s="7"/>
      <c r="E81" s="13"/>
      <c r="F81" s="19"/>
      <c r="G81" s="14"/>
      <c r="H81" s="14"/>
      <c r="I81" s="7"/>
      <c r="J81" s="7"/>
      <c r="K81" s="8"/>
      <c r="L81" s="7"/>
      <c r="M81" s="7"/>
      <c r="N81" s="15" t="str">
        <f t="shared" si="6"/>
        <v/>
      </c>
      <c r="O81" s="15" t="str">
        <f t="shared" si="7"/>
        <v/>
      </c>
      <c r="P81" s="11" t="str">
        <f t="shared" si="8"/>
        <v/>
      </c>
    </row>
    <row r="82" spans="1:16" ht="25.05" customHeight="1">
      <c r="A82" s="7"/>
      <c r="B82" s="7"/>
      <c r="C82" s="7"/>
      <c r="D82" s="7"/>
      <c r="E82" s="13"/>
      <c r="F82" s="19"/>
      <c r="G82" s="14"/>
      <c r="H82" s="14"/>
      <c r="I82" s="7"/>
      <c r="J82" s="7"/>
      <c r="K82" s="8"/>
      <c r="L82" s="7"/>
      <c r="M82" s="7"/>
      <c r="N82" s="15" t="str">
        <f t="shared" si="6"/>
        <v/>
      </c>
      <c r="O82" s="15" t="str">
        <f t="shared" si="7"/>
        <v/>
      </c>
      <c r="P82" s="11" t="str">
        <f t="shared" si="8"/>
        <v/>
      </c>
    </row>
    <row r="83" spans="1:16" ht="25.05" customHeight="1">
      <c r="A83" s="7"/>
      <c r="B83" s="7"/>
      <c r="C83" s="7"/>
      <c r="D83" s="7"/>
      <c r="E83" s="13"/>
      <c r="F83" s="19"/>
      <c r="G83" s="14"/>
      <c r="H83" s="14"/>
      <c r="I83" s="7"/>
      <c r="J83" s="7"/>
      <c r="K83" s="8"/>
      <c r="L83" s="7"/>
      <c r="M83" s="7"/>
      <c r="N83" s="15" t="str">
        <f t="shared" si="6"/>
        <v/>
      </c>
      <c r="O83" s="15" t="str">
        <f t="shared" si="7"/>
        <v/>
      </c>
      <c r="P83" s="11" t="str">
        <f t="shared" si="8"/>
        <v/>
      </c>
    </row>
    <row r="84" spans="1:16" ht="25.05" customHeight="1">
      <c r="A84" s="7"/>
      <c r="B84" s="7"/>
      <c r="C84" s="7"/>
      <c r="D84" s="7"/>
      <c r="E84" s="13"/>
      <c r="F84" s="19"/>
      <c r="G84" s="14"/>
      <c r="H84" s="14"/>
      <c r="I84" s="7"/>
      <c r="J84" s="7"/>
      <c r="K84" s="8"/>
      <c r="L84" s="7"/>
      <c r="M84" s="7"/>
      <c r="N84" s="15" t="str">
        <f t="shared" si="6"/>
        <v/>
      </c>
      <c r="O84" s="15" t="str">
        <f t="shared" si="7"/>
        <v/>
      </c>
      <c r="P84" s="11" t="str">
        <f t="shared" si="8"/>
        <v/>
      </c>
    </row>
    <row r="85" spans="1:16" ht="25.05" customHeight="1">
      <c r="A85" s="7"/>
      <c r="B85" s="7"/>
      <c r="C85" s="7"/>
      <c r="D85" s="7"/>
      <c r="E85" s="13"/>
      <c r="F85" s="19"/>
      <c r="G85" s="14"/>
      <c r="H85" s="14"/>
      <c r="I85" s="7"/>
      <c r="J85" s="7"/>
      <c r="K85" s="8"/>
      <c r="L85" s="7"/>
      <c r="M85" s="7"/>
      <c r="N85" s="15" t="str">
        <f t="shared" si="6"/>
        <v/>
      </c>
      <c r="O85" s="15" t="str">
        <f t="shared" si="7"/>
        <v/>
      </c>
      <c r="P85" s="11" t="str">
        <f t="shared" si="8"/>
        <v/>
      </c>
    </row>
    <row r="86" spans="1:16" ht="25.05" customHeight="1">
      <c r="A86" s="7"/>
      <c r="B86" s="7"/>
      <c r="C86" s="7"/>
      <c r="D86" s="7"/>
      <c r="E86" s="13"/>
      <c r="F86" s="19"/>
      <c r="G86" s="14"/>
      <c r="H86" s="14"/>
      <c r="I86" s="7"/>
      <c r="J86" s="7"/>
      <c r="K86" s="8"/>
      <c r="L86" s="7"/>
      <c r="M86" s="7"/>
      <c r="N86" s="15" t="str">
        <f t="shared" si="6"/>
        <v/>
      </c>
      <c r="O86" s="15" t="str">
        <f t="shared" si="7"/>
        <v/>
      </c>
      <c r="P86" s="11" t="str">
        <f t="shared" si="8"/>
        <v/>
      </c>
    </row>
    <row r="87" spans="1:16" ht="25.05" customHeight="1">
      <c r="A87" s="7"/>
      <c r="B87" s="7"/>
      <c r="C87" s="7"/>
      <c r="D87" s="7"/>
      <c r="E87" s="13"/>
      <c r="F87" s="19"/>
      <c r="G87" s="14"/>
      <c r="H87" s="14"/>
      <c r="I87" s="7"/>
      <c r="J87" s="7"/>
      <c r="K87" s="8"/>
      <c r="L87" s="7"/>
      <c r="M87" s="7"/>
      <c r="N87" s="15" t="str">
        <f t="shared" si="6"/>
        <v/>
      </c>
      <c r="O87" s="15" t="str">
        <f t="shared" si="7"/>
        <v/>
      </c>
      <c r="P87" s="11" t="str">
        <f t="shared" si="8"/>
        <v/>
      </c>
    </row>
    <row r="88" spans="1:16" ht="25.05" customHeight="1">
      <c r="A88" s="7"/>
      <c r="B88" s="7"/>
      <c r="C88" s="7"/>
      <c r="D88" s="7"/>
      <c r="E88" s="13"/>
      <c r="F88" s="19"/>
      <c r="G88" s="14"/>
      <c r="H88" s="14"/>
      <c r="I88" s="7"/>
      <c r="J88" s="7"/>
      <c r="K88" s="8"/>
      <c r="L88" s="7"/>
      <c r="M88" s="7"/>
      <c r="N88" s="15" t="str">
        <f t="shared" si="6"/>
        <v/>
      </c>
      <c r="O88" s="15" t="str">
        <f t="shared" si="7"/>
        <v/>
      </c>
      <c r="P88" s="11" t="str">
        <f t="shared" si="8"/>
        <v/>
      </c>
    </row>
    <row r="89" spans="1:16" ht="25.05" customHeight="1">
      <c r="A89" s="7"/>
      <c r="B89" s="7"/>
      <c r="C89" s="7"/>
      <c r="D89" s="7"/>
      <c r="E89" s="13"/>
      <c r="F89" s="19"/>
      <c r="G89" s="14"/>
      <c r="H89" s="14"/>
      <c r="I89" s="7"/>
      <c r="J89" s="7"/>
      <c r="K89" s="8"/>
      <c r="L89" s="7"/>
      <c r="M89" s="7"/>
      <c r="N89" s="15" t="str">
        <f t="shared" si="6"/>
        <v/>
      </c>
      <c r="O89" s="15" t="str">
        <f t="shared" si="7"/>
        <v/>
      </c>
      <c r="P89" s="11" t="str">
        <f t="shared" si="8"/>
        <v/>
      </c>
    </row>
    <row r="90" spans="1:16" ht="25.05" customHeight="1">
      <c r="A90" s="7"/>
      <c r="B90" s="7"/>
      <c r="C90" s="7"/>
      <c r="D90" s="7"/>
      <c r="E90" s="13"/>
      <c r="F90" s="19"/>
      <c r="G90" s="14"/>
      <c r="H90" s="14"/>
      <c r="I90" s="7"/>
      <c r="J90" s="7"/>
      <c r="K90" s="8"/>
      <c r="L90" s="7"/>
      <c r="M90" s="7"/>
      <c r="N90" s="15" t="str">
        <f t="shared" si="6"/>
        <v/>
      </c>
      <c r="O90" s="15" t="str">
        <f t="shared" si="7"/>
        <v/>
      </c>
      <c r="P90" s="11" t="str">
        <f t="shared" si="8"/>
        <v/>
      </c>
    </row>
    <row r="91" spans="1:16" ht="25.05" customHeight="1">
      <c r="A91" s="7"/>
      <c r="B91" s="7"/>
      <c r="C91" s="7"/>
      <c r="D91" s="7"/>
      <c r="E91" s="13"/>
      <c r="F91" s="19"/>
      <c r="G91" s="14"/>
      <c r="H91" s="14"/>
      <c r="I91" s="7"/>
      <c r="J91" s="7"/>
      <c r="K91" s="8"/>
      <c r="L91" s="7"/>
      <c r="M91" s="7"/>
      <c r="N91" s="15" t="str">
        <f t="shared" si="6"/>
        <v/>
      </c>
      <c r="O91" s="15" t="str">
        <f t="shared" si="7"/>
        <v/>
      </c>
      <c r="P91" s="11" t="str">
        <f t="shared" si="8"/>
        <v/>
      </c>
    </row>
    <row r="92" spans="1:16" ht="25.05" customHeight="1">
      <c r="A92" s="7"/>
      <c r="B92" s="7"/>
      <c r="C92" s="7"/>
      <c r="D92" s="7"/>
      <c r="E92" s="13"/>
      <c r="F92" s="19"/>
      <c r="G92" s="14"/>
      <c r="H92" s="14"/>
      <c r="I92" s="7"/>
      <c r="J92" s="7"/>
      <c r="K92" s="8"/>
      <c r="L92" s="7"/>
      <c r="M92" s="7"/>
      <c r="N92" s="15" t="str">
        <f t="shared" si="6"/>
        <v/>
      </c>
      <c r="O92" s="15" t="str">
        <f t="shared" si="7"/>
        <v/>
      </c>
      <c r="P92" s="11" t="str">
        <f t="shared" si="8"/>
        <v/>
      </c>
    </row>
    <row r="93" spans="1:16" ht="25.05" customHeight="1">
      <c r="A93" s="7"/>
      <c r="B93" s="7"/>
      <c r="C93" s="7"/>
      <c r="D93" s="7"/>
      <c r="E93" s="13"/>
      <c r="F93" s="19"/>
      <c r="G93" s="14"/>
      <c r="H93" s="14"/>
      <c r="I93" s="7"/>
      <c r="J93" s="7"/>
      <c r="K93" s="8"/>
      <c r="L93" s="7"/>
      <c r="M93" s="7"/>
      <c r="N93" s="15" t="str">
        <f t="shared" si="6"/>
        <v/>
      </c>
      <c r="O93" s="15" t="str">
        <f t="shared" si="7"/>
        <v/>
      </c>
      <c r="P93" s="11" t="str">
        <f t="shared" si="8"/>
        <v/>
      </c>
    </row>
    <row r="94" spans="1:16" ht="25.05" customHeight="1">
      <c r="A94" s="7"/>
      <c r="B94" s="7"/>
      <c r="C94" s="7"/>
      <c r="D94" s="7"/>
      <c r="E94" s="13"/>
      <c r="F94" s="19"/>
      <c r="G94" s="14"/>
      <c r="H94" s="14"/>
      <c r="I94" s="7"/>
      <c r="J94" s="7"/>
      <c r="K94" s="8"/>
      <c r="L94" s="7"/>
      <c r="M94" s="7"/>
      <c r="N94" s="15" t="str">
        <f t="shared" si="6"/>
        <v/>
      </c>
      <c r="O94" s="15" t="str">
        <f t="shared" si="7"/>
        <v/>
      </c>
      <c r="P94" s="11" t="str">
        <f t="shared" si="8"/>
        <v/>
      </c>
    </row>
    <row r="95" spans="1:16" ht="25.05" customHeight="1">
      <c r="A95" s="7"/>
      <c r="B95" s="7"/>
      <c r="C95" s="7"/>
      <c r="D95" s="7"/>
      <c r="E95" s="13"/>
      <c r="F95" s="19"/>
      <c r="G95" s="14"/>
      <c r="H95" s="14"/>
      <c r="I95" s="7"/>
      <c r="J95" s="7"/>
      <c r="K95" s="8"/>
      <c r="L95" s="7"/>
      <c r="M95" s="7"/>
      <c r="N95" s="15" t="str">
        <f t="shared" si="6"/>
        <v/>
      </c>
      <c r="O95" s="15" t="str">
        <f t="shared" si="7"/>
        <v/>
      </c>
      <c r="P95" s="11" t="str">
        <f t="shared" si="8"/>
        <v/>
      </c>
    </row>
    <row r="96" spans="1:16" ht="25.05" customHeight="1">
      <c r="A96" s="7"/>
      <c r="B96" s="7"/>
      <c r="C96" s="7"/>
      <c r="D96" s="7"/>
      <c r="E96" s="13"/>
      <c r="F96" s="19"/>
      <c r="G96" s="14"/>
      <c r="H96" s="14"/>
      <c r="I96" s="7"/>
      <c r="J96" s="7"/>
      <c r="K96" s="8"/>
      <c r="L96" s="7"/>
      <c r="M96" s="7"/>
      <c r="N96" s="15" t="str">
        <f t="shared" si="6"/>
        <v/>
      </c>
      <c r="O96" s="15" t="str">
        <f t="shared" si="7"/>
        <v/>
      </c>
      <c r="P96" s="11" t="str">
        <f t="shared" si="8"/>
        <v/>
      </c>
    </row>
    <row r="97" spans="1:16" ht="25.05" customHeight="1">
      <c r="A97" s="7"/>
      <c r="B97" s="7"/>
      <c r="C97" s="7"/>
      <c r="D97" s="7"/>
      <c r="E97" s="13"/>
      <c r="F97" s="19"/>
      <c r="G97" s="14"/>
      <c r="H97" s="14"/>
      <c r="I97" s="7"/>
      <c r="J97" s="7"/>
      <c r="K97" s="8"/>
      <c r="L97" s="7"/>
      <c r="M97" s="7"/>
      <c r="N97" s="15" t="str">
        <f t="shared" si="6"/>
        <v/>
      </c>
      <c r="O97" s="15" t="str">
        <f t="shared" si="7"/>
        <v/>
      </c>
      <c r="P97" s="11" t="str">
        <f t="shared" si="8"/>
        <v/>
      </c>
    </row>
    <row r="98" spans="1:16" ht="25.05" customHeight="1">
      <c r="A98" s="7"/>
      <c r="B98" s="7"/>
      <c r="C98" s="7"/>
      <c r="D98" s="7"/>
      <c r="E98" s="13"/>
      <c r="F98" s="19"/>
      <c r="G98" s="14"/>
      <c r="H98" s="14"/>
      <c r="I98" s="7"/>
      <c r="J98" s="7"/>
      <c r="K98" s="8"/>
      <c r="L98" s="7"/>
      <c r="M98" s="7"/>
      <c r="N98" s="15" t="str">
        <f t="shared" si="6"/>
        <v/>
      </c>
      <c r="O98" s="15" t="str">
        <f t="shared" si="7"/>
        <v/>
      </c>
      <c r="P98" s="11" t="str">
        <f t="shared" si="8"/>
        <v/>
      </c>
    </row>
    <row r="99" spans="1:16" ht="25.05" customHeight="1">
      <c r="A99" s="7"/>
      <c r="B99" s="7"/>
      <c r="C99" s="7"/>
      <c r="D99" s="7"/>
      <c r="E99" s="13"/>
      <c r="F99" s="19"/>
      <c r="G99" s="14"/>
      <c r="H99" s="14"/>
      <c r="I99" s="7"/>
      <c r="J99" s="7"/>
      <c r="K99" s="8"/>
      <c r="L99" s="7"/>
      <c r="M99" s="7"/>
      <c r="N99" s="15" t="str">
        <f t="shared" si="6"/>
        <v/>
      </c>
      <c r="O99" s="15" t="str">
        <f t="shared" si="7"/>
        <v/>
      </c>
      <c r="P99" s="11" t="str">
        <f t="shared" si="8"/>
        <v/>
      </c>
    </row>
    <row r="100" spans="1:16" ht="25.05" customHeight="1">
      <c r="A100" s="7"/>
      <c r="B100" s="7"/>
      <c r="C100" s="7"/>
      <c r="D100" s="7"/>
      <c r="E100" s="13"/>
      <c r="F100" s="19"/>
      <c r="G100" s="14"/>
      <c r="H100" s="14"/>
      <c r="I100" s="7"/>
      <c r="J100" s="7"/>
      <c r="K100" s="8"/>
      <c r="L100" s="7"/>
      <c r="M100" s="7"/>
      <c r="N100" s="15" t="str">
        <f t="shared" si="6"/>
        <v/>
      </c>
      <c r="O100" s="15" t="str">
        <f t="shared" si="7"/>
        <v/>
      </c>
      <c r="P100" s="11" t="str">
        <f t="shared" si="8"/>
        <v/>
      </c>
    </row>
    <row r="101" spans="1:16" ht="25.05" customHeight="1">
      <c r="A101" s="7"/>
      <c r="B101" s="7"/>
      <c r="C101" s="7"/>
      <c r="D101" s="7"/>
      <c r="E101" s="13"/>
      <c r="F101" s="19"/>
      <c r="G101" s="14"/>
      <c r="H101" s="14"/>
      <c r="I101" s="7"/>
      <c r="J101" s="7"/>
      <c r="K101" s="8"/>
      <c r="L101" s="7"/>
      <c r="M101" s="7"/>
      <c r="N101" s="15" t="str">
        <f t="shared" si="6"/>
        <v/>
      </c>
      <c r="O101" s="15" t="str">
        <f t="shared" si="7"/>
        <v/>
      </c>
      <c r="P101" s="11" t="str">
        <f t="shared" si="8"/>
        <v/>
      </c>
    </row>
    <row r="102" spans="1:16" ht="25.05" customHeight="1">
      <c r="A102" s="7"/>
      <c r="B102" s="7"/>
      <c r="C102" s="7"/>
      <c r="D102" s="7"/>
      <c r="E102" s="13"/>
      <c r="F102" s="19"/>
      <c r="G102" s="14"/>
      <c r="H102" s="14"/>
      <c r="I102" s="7"/>
      <c r="J102" s="7"/>
      <c r="K102" s="8"/>
      <c r="L102" s="7"/>
      <c r="M102" s="7"/>
      <c r="N102" s="15" t="str">
        <f t="shared" si="6"/>
        <v/>
      </c>
      <c r="O102" s="15" t="str">
        <f t="shared" si="7"/>
        <v/>
      </c>
      <c r="P102" s="11" t="str">
        <f t="shared" si="8"/>
        <v/>
      </c>
    </row>
    <row r="103" spans="1:16" ht="25.05" customHeight="1">
      <c r="A103" s="7"/>
      <c r="B103" s="7"/>
      <c r="C103" s="7"/>
      <c r="D103" s="7"/>
      <c r="E103" s="13"/>
      <c r="F103" s="19"/>
      <c r="G103" s="14"/>
      <c r="H103" s="14"/>
      <c r="I103" s="7"/>
      <c r="J103" s="7"/>
      <c r="K103" s="8"/>
      <c r="L103" s="7"/>
      <c r="M103" s="7"/>
      <c r="N103" s="15" t="str">
        <f t="shared" si="6"/>
        <v/>
      </c>
      <c r="O103" s="15" t="str">
        <f t="shared" si="7"/>
        <v/>
      </c>
      <c r="P103" s="11" t="str">
        <f t="shared" si="8"/>
        <v/>
      </c>
    </row>
    <row r="104" spans="1:16" ht="25.05" customHeight="1">
      <c r="A104" s="7"/>
      <c r="B104" s="7"/>
      <c r="C104" s="7"/>
      <c r="D104" s="7"/>
      <c r="E104" s="13"/>
      <c r="F104" s="19"/>
      <c r="G104" s="14"/>
      <c r="H104" s="14"/>
      <c r="I104" s="7"/>
      <c r="J104" s="7"/>
      <c r="K104" s="8"/>
      <c r="L104" s="7"/>
      <c r="M104" s="7"/>
      <c r="N104" s="15" t="str">
        <f t="shared" si="6"/>
        <v/>
      </c>
      <c r="O104" s="15" t="str">
        <f t="shared" si="7"/>
        <v/>
      </c>
      <c r="P104" s="11" t="str">
        <f t="shared" si="8"/>
        <v/>
      </c>
    </row>
    <row r="105" spans="1:16" ht="25.05" customHeight="1">
      <c r="A105" s="7"/>
      <c r="B105" s="7"/>
      <c r="C105" s="7"/>
      <c r="D105" s="7"/>
      <c r="E105" s="13"/>
      <c r="F105" s="19"/>
      <c r="G105" s="14"/>
      <c r="H105" s="14"/>
      <c r="I105" s="7"/>
      <c r="J105" s="7"/>
      <c r="K105" s="8"/>
      <c r="L105" s="7"/>
      <c r="M105" s="7"/>
      <c r="N105" s="15" t="str">
        <f t="shared" si="6"/>
        <v/>
      </c>
      <c r="O105" s="15" t="str">
        <f t="shared" si="7"/>
        <v/>
      </c>
      <c r="P105" s="11" t="str">
        <f t="shared" si="8"/>
        <v/>
      </c>
    </row>
    <row r="106" spans="1:16" ht="25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25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</sheetData>
  <conditionalFormatting sqref="P6:P105">
    <cfRule type="containsText" dxfId="0" priority="1" operator="containsText" text="Missing input"/>
  </conditionalFormatting>
  <dataValidations count="5">
    <dataValidation type="list" sqref="D6:D105" xr:uid="{00000000-0002-0000-0200-000000000000}">
      <formula1>"Product,Labour,Freight,Engineering,Subcontract"</formula1>
    </dataValidation>
    <dataValidation type="list" sqref="F6:F105" xr:uid="{00000000-0002-0000-0200-000001000000}">
      <formula1>"ea,m,m2,m3,h,lot"</formula1>
    </dataValidation>
    <dataValidation type="list" sqref="I6:I105 L6:M105" xr:uid="{00000000-0002-0000-0200-000002000000}">
      <formula1>"Yes,No"</formula1>
    </dataValidation>
    <dataValidation type="decimal" sqref="E6:E105" xr:uid="{00000000-0002-0000-0200-000005000000}">
      <formula1>0.001</formula1>
      <formula2>100000</formula2>
    </dataValidation>
    <dataValidation type="decimal" sqref="G6:H105" xr:uid="{00000000-0002-0000-0200-000006000000}">
      <formula1>0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opLeftCell="C1" workbookViewId="0">
      <pane ySplit="5" topLeftCell="A6" activePane="bottomLeft" state="frozen"/>
      <selection pane="bottomLeft"/>
    </sheetView>
  </sheetViews>
  <sheetFormatPr defaultRowHeight="13.8"/>
  <cols>
    <col min="1" max="1" width="16" customWidth="1"/>
    <col min="2" max="2" width="30" customWidth="1"/>
    <col min="3" max="4" width="28" customWidth="1"/>
    <col min="5" max="5" width="18" customWidth="1"/>
    <col min="6" max="6" width="20" customWidth="1"/>
    <col min="7" max="7" width="4" customWidth="1"/>
    <col min="8" max="8" width="17" customWidth="1"/>
    <col min="9" max="9" width="18" customWidth="1"/>
    <col min="10" max="10" width="76" customWidth="1"/>
  </cols>
  <sheetData>
    <row r="1" spans="1:10" ht="25.0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5.05" customHeight="1">
      <c r="A2" s="2" t="s">
        <v>134</v>
      </c>
      <c r="B2" s="1"/>
      <c r="C2" s="1"/>
      <c r="D2" s="1"/>
      <c r="E2" s="1"/>
      <c r="F2" s="1"/>
      <c r="G2" s="1"/>
      <c r="H2" s="1"/>
      <c r="I2" s="1"/>
      <c r="J2" s="1"/>
    </row>
    <row r="3" spans="1:10" ht="25.05" customHeight="1">
      <c r="A3" s="3" t="s">
        <v>135</v>
      </c>
      <c r="B3" s="1"/>
      <c r="C3" s="1"/>
      <c r="D3" s="1"/>
      <c r="E3" s="1"/>
      <c r="F3" s="1"/>
      <c r="G3" s="1"/>
      <c r="H3" s="1"/>
      <c r="I3" s="1"/>
      <c r="J3" s="1"/>
    </row>
    <row r="4" spans="1:10" ht="25.0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>
      <c r="A5" s="5" t="s">
        <v>73</v>
      </c>
      <c r="B5" s="9" t="s">
        <v>136</v>
      </c>
      <c r="C5" s="9" t="s">
        <v>137</v>
      </c>
      <c r="D5" s="9" t="s">
        <v>138</v>
      </c>
      <c r="E5" s="9" t="s">
        <v>139</v>
      </c>
      <c r="F5" s="6" t="s">
        <v>140</v>
      </c>
      <c r="G5" s="1"/>
      <c r="H5" s="5" t="s">
        <v>141</v>
      </c>
      <c r="I5" s="9" t="s">
        <v>142</v>
      </c>
      <c r="J5" s="6" t="s">
        <v>143</v>
      </c>
    </row>
    <row r="6" spans="1:10" ht="61.95" customHeight="1">
      <c r="A6" s="7" t="s">
        <v>87</v>
      </c>
      <c r="B6" s="7" t="s">
        <v>144</v>
      </c>
      <c r="C6" s="7" t="s">
        <v>145</v>
      </c>
      <c r="D6" s="7"/>
      <c r="E6" s="7" t="s">
        <v>146</v>
      </c>
      <c r="F6" s="7" t="s">
        <v>147</v>
      </c>
      <c r="G6" s="1"/>
      <c r="H6" s="7" t="s">
        <v>148</v>
      </c>
      <c r="I6" s="7" t="s">
        <v>149</v>
      </c>
      <c r="J6" s="10" t="s">
        <v>150</v>
      </c>
    </row>
    <row r="7" spans="1:10" ht="61.95" customHeight="1">
      <c r="A7" s="7" t="s">
        <v>97</v>
      </c>
      <c r="B7" s="7" t="s">
        <v>151</v>
      </c>
      <c r="C7" s="7" t="s">
        <v>145</v>
      </c>
      <c r="D7" s="7" t="s">
        <v>152</v>
      </c>
      <c r="E7" s="7" t="s">
        <v>153</v>
      </c>
      <c r="F7" s="7" t="s">
        <v>147</v>
      </c>
      <c r="G7" s="1"/>
      <c r="H7" s="7" t="s">
        <v>154</v>
      </c>
      <c r="I7" s="7" t="s">
        <v>155</v>
      </c>
      <c r="J7" s="10" t="s">
        <v>156</v>
      </c>
    </row>
    <row r="8" spans="1:10" ht="61.95" customHeight="1">
      <c r="A8" s="7" t="s">
        <v>106</v>
      </c>
      <c r="B8" s="7" t="s">
        <v>157</v>
      </c>
      <c r="C8" s="7" t="s">
        <v>145</v>
      </c>
      <c r="D8" s="7" t="s">
        <v>152</v>
      </c>
      <c r="E8" s="7" t="s">
        <v>157</v>
      </c>
      <c r="F8" s="7" t="s">
        <v>147</v>
      </c>
      <c r="G8" s="1"/>
      <c r="H8" s="7" t="s">
        <v>158</v>
      </c>
      <c r="I8" s="7" t="s">
        <v>159</v>
      </c>
      <c r="J8" s="10" t="s">
        <v>160</v>
      </c>
    </row>
    <row r="9" spans="1:10" ht="25.05" customHeight="1">
      <c r="A9" s="7" t="s">
        <v>112</v>
      </c>
      <c r="B9" s="7" t="s">
        <v>161</v>
      </c>
      <c r="C9" s="7" t="s">
        <v>145</v>
      </c>
      <c r="D9" s="7"/>
      <c r="E9" s="7" t="s">
        <v>162</v>
      </c>
      <c r="F9" s="7" t="s">
        <v>161</v>
      </c>
      <c r="G9" s="1"/>
      <c r="H9" s="1"/>
      <c r="I9" s="1"/>
      <c r="J9" s="1"/>
    </row>
    <row r="10" spans="1:10" ht="25.05" customHeight="1">
      <c r="A10" s="7" t="s">
        <v>123</v>
      </c>
      <c r="B10" s="7" t="s">
        <v>125</v>
      </c>
      <c r="C10" s="7" t="s">
        <v>145</v>
      </c>
      <c r="D10" s="7"/>
      <c r="E10" s="7" t="s">
        <v>162</v>
      </c>
      <c r="F10" s="7" t="s">
        <v>163</v>
      </c>
      <c r="G10" s="1"/>
      <c r="H10" s="1"/>
      <c r="I10" s="1"/>
      <c r="J10" s="1"/>
    </row>
    <row r="11" spans="1:10" ht="25.05" customHeight="1">
      <c r="A11" s="7" t="s">
        <v>127</v>
      </c>
      <c r="B11" s="7" t="s">
        <v>129</v>
      </c>
      <c r="C11" s="7"/>
      <c r="D11" s="7"/>
      <c r="E11" s="7" t="s">
        <v>162</v>
      </c>
      <c r="F11" s="7" t="s">
        <v>164</v>
      </c>
      <c r="G11" s="1"/>
      <c r="H11" s="1"/>
      <c r="I11" s="1"/>
      <c r="J11" s="1"/>
    </row>
    <row r="12" spans="1:10" ht="25.05" customHeight="1">
      <c r="A12" s="7" t="s">
        <v>132</v>
      </c>
      <c r="B12" s="7" t="s">
        <v>165</v>
      </c>
      <c r="C12" s="7" t="s">
        <v>145</v>
      </c>
      <c r="D12" s="7"/>
      <c r="E12" s="7" t="s">
        <v>162</v>
      </c>
      <c r="F12" s="7" t="s">
        <v>165</v>
      </c>
      <c r="G12" s="1"/>
      <c r="H12" s="1"/>
      <c r="I12" s="1"/>
      <c r="J12" s="1"/>
    </row>
    <row r="13" spans="1:10" ht="25.0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5.0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dataValidations count="1">
    <dataValidation type="list" sqref="I6:I8" xr:uid="{00000000-0002-0000-0300-000000000000}">
      <formula1>"Inclusion,Exclusion,Assumption"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showGridLines="0" tabSelected="1" workbookViewId="0">
      <pane ySplit="5" topLeftCell="A6" activePane="bottomLeft" state="frozen"/>
      <selection pane="bottomLeft"/>
    </sheetView>
  </sheetViews>
  <sheetFormatPr defaultRowHeight="13.8"/>
  <cols>
    <col min="1" max="1" width="16" customWidth="1"/>
    <col min="2" max="2" width="22" customWidth="1"/>
    <col min="3" max="3" width="29" customWidth="1"/>
    <col min="4" max="4" width="25" customWidth="1"/>
    <col min="5" max="6" width="20" customWidth="1"/>
    <col min="7" max="7" width="62" customWidth="1"/>
  </cols>
  <sheetData>
    <row r="1" spans="1:7" ht="25.05" customHeight="1">
      <c r="A1" s="1"/>
      <c r="B1" s="1"/>
      <c r="C1" s="1"/>
      <c r="D1" s="1"/>
      <c r="E1" s="1"/>
      <c r="F1" s="1"/>
      <c r="G1" s="1"/>
    </row>
    <row r="2" spans="1:7" ht="25.05" customHeight="1">
      <c r="A2" s="2" t="s">
        <v>166</v>
      </c>
      <c r="B2" s="1"/>
      <c r="C2" s="1"/>
      <c r="D2" s="1"/>
      <c r="E2" s="1"/>
      <c r="F2" s="1"/>
      <c r="G2" s="1"/>
    </row>
    <row r="3" spans="1:7" ht="25.05" customHeight="1">
      <c r="A3" s="3" t="s">
        <v>167</v>
      </c>
      <c r="B3" s="1"/>
      <c r="C3" s="1"/>
      <c r="D3" s="1"/>
      <c r="E3" s="1"/>
      <c r="F3" s="1"/>
      <c r="G3" s="1"/>
    </row>
    <row r="4" spans="1:7" ht="25.05" customHeight="1">
      <c r="A4" s="1"/>
      <c r="B4" s="1"/>
      <c r="C4" s="1"/>
      <c r="D4" s="1"/>
      <c r="E4" s="1"/>
      <c r="F4" s="1"/>
      <c r="G4" s="1"/>
    </row>
    <row r="5" spans="1:7" ht="42" customHeight="1">
      <c r="A5" s="5" t="s">
        <v>81</v>
      </c>
      <c r="B5" s="9" t="s">
        <v>168</v>
      </c>
      <c r="C5" s="9" t="s">
        <v>169</v>
      </c>
      <c r="D5" s="9" t="s">
        <v>170</v>
      </c>
      <c r="E5" s="9" t="s">
        <v>82</v>
      </c>
      <c r="F5" s="9" t="s">
        <v>171</v>
      </c>
      <c r="G5" s="6" t="s">
        <v>172</v>
      </c>
    </row>
    <row r="6" spans="1:7" ht="43.95" customHeight="1">
      <c r="A6" s="7" t="s">
        <v>92</v>
      </c>
      <c r="B6" s="7" t="s">
        <v>173</v>
      </c>
      <c r="C6" s="7" t="s">
        <v>174</v>
      </c>
      <c r="D6" s="7" t="s">
        <v>175</v>
      </c>
      <c r="E6" s="8">
        <v>46275</v>
      </c>
      <c r="F6" s="8">
        <v>46305</v>
      </c>
      <c r="G6" s="10" t="s">
        <v>176</v>
      </c>
    </row>
    <row r="7" spans="1:7" ht="43.95" customHeight="1">
      <c r="A7" s="7" t="s">
        <v>99</v>
      </c>
      <c r="B7" s="7" t="s">
        <v>173</v>
      </c>
      <c r="C7" s="7" t="s">
        <v>177</v>
      </c>
      <c r="D7" s="7" t="s">
        <v>178</v>
      </c>
      <c r="E7" s="8">
        <v>46275</v>
      </c>
      <c r="F7" s="8">
        <v>46305</v>
      </c>
      <c r="G7" s="10" t="s">
        <v>179</v>
      </c>
    </row>
    <row r="8" spans="1:7" ht="43.95" customHeight="1">
      <c r="A8" s="7" t="s">
        <v>108</v>
      </c>
      <c r="B8" s="7" t="s">
        <v>173</v>
      </c>
      <c r="C8" s="7" t="s">
        <v>180</v>
      </c>
      <c r="D8" s="7" t="s">
        <v>181</v>
      </c>
      <c r="E8" s="8">
        <v>46276</v>
      </c>
      <c r="F8" s="8">
        <v>46306</v>
      </c>
      <c r="G8" s="10" t="s">
        <v>182</v>
      </c>
    </row>
    <row r="9" spans="1:7" ht="43.95" customHeight="1">
      <c r="A9" s="7" t="s">
        <v>116</v>
      </c>
      <c r="B9" s="7" t="s">
        <v>183</v>
      </c>
      <c r="C9" s="7" t="s">
        <v>184</v>
      </c>
      <c r="D9" s="7" t="s">
        <v>185</v>
      </c>
      <c r="E9" s="8">
        <v>46277</v>
      </c>
      <c r="F9" s="8">
        <v>46307</v>
      </c>
      <c r="G9" s="10" t="s">
        <v>186</v>
      </c>
    </row>
    <row r="10" spans="1:7" ht="43.95" customHeight="1">
      <c r="A10" s="7" t="s">
        <v>130</v>
      </c>
      <c r="B10" s="7" t="s">
        <v>173</v>
      </c>
      <c r="C10" s="7" t="s">
        <v>187</v>
      </c>
      <c r="D10" s="7" t="s">
        <v>188</v>
      </c>
      <c r="E10" s="8">
        <v>46277</v>
      </c>
      <c r="F10" s="8">
        <v>46307</v>
      </c>
      <c r="G10" s="10" t="s">
        <v>189</v>
      </c>
    </row>
    <row r="11" spans="1:7" ht="43.95" customHeight="1">
      <c r="A11" s="7" t="s">
        <v>121</v>
      </c>
      <c r="B11" s="7" t="s">
        <v>173</v>
      </c>
      <c r="C11" s="7" t="s">
        <v>190</v>
      </c>
      <c r="D11" s="7" t="s">
        <v>191</v>
      </c>
      <c r="E11" s="8">
        <v>46277</v>
      </c>
      <c r="F11" s="8">
        <v>46307</v>
      </c>
      <c r="G11" s="10" t="s">
        <v>192</v>
      </c>
    </row>
    <row r="12" spans="1:7" ht="25.05" customHeight="1">
      <c r="A12" s="1"/>
      <c r="B12" s="1"/>
      <c r="C12" s="1"/>
      <c r="D12" s="1"/>
      <c r="E12" s="1"/>
      <c r="F12" s="1"/>
      <c r="G12" s="1"/>
    </row>
    <row r="13" spans="1:7" ht="25.05" customHeight="1">
      <c r="A13" s="1"/>
      <c r="B13" s="1"/>
      <c r="C13" s="1"/>
      <c r="D13" s="1"/>
      <c r="E13" s="1"/>
      <c r="F13" s="1"/>
      <c r="G13" s="1"/>
    </row>
    <row r="14" spans="1:7" ht="25.05" customHeight="1">
      <c r="A14" s="1"/>
      <c r="B14" s="1"/>
      <c r="C14" s="1"/>
      <c r="D14" s="1"/>
      <c r="E14" s="1"/>
      <c r="F14" s="1"/>
      <c r="G14" s="1"/>
    </row>
    <row r="15" spans="1:7" ht="25.05" customHeight="1">
      <c r="A15" s="1"/>
      <c r="B15" s="1"/>
      <c r="C15" s="1"/>
      <c r="D15" s="1"/>
      <c r="E15" s="1"/>
      <c r="F15" s="1"/>
      <c r="G15" s="1"/>
    </row>
    <row r="16" spans="1:7" ht="25.05" customHeight="1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showGridLines="0" workbookViewId="0">
      <selection activeCell="C6" sqref="C6"/>
    </sheetView>
  </sheetViews>
  <sheetFormatPr defaultRowHeight="13.8"/>
  <cols>
    <col min="1" max="1" width="30" customWidth="1"/>
    <col min="2" max="2" width="18" customWidth="1"/>
    <col min="3" max="3" width="22" customWidth="1"/>
    <col min="4" max="4" width="18" customWidth="1"/>
    <col min="5" max="5" width="24" customWidth="1"/>
    <col min="6" max="6" width="22" customWidth="1"/>
    <col min="7" max="8" width="24" customWidth="1"/>
  </cols>
  <sheetData>
    <row r="1" spans="1:8" ht="25.05" customHeight="1">
      <c r="A1" s="1"/>
      <c r="B1" s="1"/>
      <c r="C1" s="1"/>
      <c r="D1" s="1"/>
      <c r="E1" s="1"/>
      <c r="F1" s="1"/>
      <c r="G1" s="1"/>
      <c r="H1" s="1"/>
    </row>
    <row r="2" spans="1:8" ht="25.05" customHeight="1">
      <c r="A2" s="2" t="s">
        <v>193</v>
      </c>
      <c r="B2" s="1"/>
      <c r="C2" s="1"/>
      <c r="D2" s="1"/>
      <c r="E2" s="1"/>
      <c r="F2" s="1"/>
      <c r="G2" s="1"/>
      <c r="H2" s="1"/>
    </row>
    <row r="3" spans="1:8" ht="25.05" customHeight="1">
      <c r="A3" s="3" t="s">
        <v>194</v>
      </c>
      <c r="B3" s="1"/>
      <c r="C3" s="1"/>
      <c r="D3" s="1"/>
      <c r="E3" s="1"/>
      <c r="F3" s="1"/>
      <c r="G3" s="1"/>
      <c r="H3" s="1"/>
    </row>
    <row r="4" spans="1:8" ht="25.05" customHeight="1">
      <c r="A4" s="1"/>
      <c r="B4" s="1"/>
      <c r="C4" s="1"/>
      <c r="D4" s="1"/>
      <c r="E4" s="1"/>
      <c r="F4" s="1"/>
      <c r="G4" s="1"/>
      <c r="H4" s="1"/>
    </row>
    <row r="5" spans="1:8" ht="31.95" customHeight="1">
      <c r="A5" s="4" t="s">
        <v>195</v>
      </c>
      <c r="B5" s="4" t="s">
        <v>196</v>
      </c>
      <c r="C5" s="4" t="s">
        <v>197</v>
      </c>
      <c r="D5" s="4" t="s">
        <v>198</v>
      </c>
      <c r="E5" s="1"/>
      <c r="F5" s="1"/>
      <c r="G5" s="1"/>
      <c r="H5" s="1"/>
    </row>
    <row r="6" spans="1:8" ht="25.05" customHeight="1">
      <c r="A6" s="1" t="s">
        <v>199</v>
      </c>
      <c r="B6" s="7">
        <v>2</v>
      </c>
      <c r="C6" s="7">
        <v>5</v>
      </c>
      <c r="D6" s="7">
        <v>8</v>
      </c>
      <c r="E6" s="1"/>
      <c r="F6" s="1"/>
      <c r="G6" s="1"/>
      <c r="H6" s="1"/>
    </row>
    <row r="7" spans="1:8" ht="25.05" customHeight="1">
      <c r="A7" s="1"/>
      <c r="B7" s="1"/>
      <c r="C7" s="1"/>
      <c r="D7" s="1"/>
      <c r="E7" s="1"/>
      <c r="F7" s="1"/>
      <c r="G7" s="1"/>
      <c r="H7" s="1"/>
    </row>
    <row r="8" spans="1:8" ht="25.05" customHeight="1">
      <c r="A8" s="11" t="s">
        <v>200</v>
      </c>
      <c r="B8" s="11"/>
      <c r="C8" s="11"/>
      <c r="D8" s="12">
        <f>IF(COUNT(B6:D6)=3,B6*C6*D6,"")</f>
        <v>80</v>
      </c>
      <c r="E8" s="1"/>
      <c r="F8" s="1"/>
      <c r="G8" s="1"/>
      <c r="H8" s="1"/>
    </row>
    <row r="9" spans="1:8" ht="25.05" customHeight="1">
      <c r="A9" s="1"/>
      <c r="B9" s="1"/>
      <c r="C9" s="1"/>
      <c r="D9" s="1"/>
      <c r="E9" s="1"/>
      <c r="F9" s="1"/>
      <c r="G9" s="1"/>
      <c r="H9" s="1"/>
    </row>
    <row r="10" spans="1:8" ht="25.05" customHeight="1">
      <c r="A10" s="1"/>
      <c r="B10" s="1"/>
      <c r="C10" s="1"/>
      <c r="D10" s="1"/>
      <c r="E10" s="1"/>
      <c r="F10" s="1"/>
      <c r="G10" s="1"/>
      <c r="H10" s="1"/>
    </row>
    <row r="11" spans="1:8" ht="25.05" customHeight="1">
      <c r="A11" s="1" t="s">
        <v>201</v>
      </c>
      <c r="B11" s="1"/>
      <c r="C11" s="1"/>
      <c r="D11" s="1"/>
      <c r="E11" s="1"/>
      <c r="F11" s="1"/>
      <c r="G11" s="1"/>
      <c r="H11" s="1"/>
    </row>
    <row r="12" spans="1:8" ht="25.05" customHeight="1">
      <c r="A12" s="1"/>
      <c r="B12" s="1"/>
      <c r="C12" s="1"/>
      <c r="D12" s="1"/>
      <c r="E12" s="1"/>
      <c r="F12" s="1"/>
      <c r="G12" s="1"/>
      <c r="H12" s="1"/>
    </row>
    <row r="13" spans="1:8" ht="25.05" customHeight="1">
      <c r="A13" s="1" t="s">
        <v>202</v>
      </c>
      <c r="B13" s="1"/>
      <c r="C13" s="1"/>
      <c r="D13" s="1"/>
      <c r="E13" s="1"/>
      <c r="F13" s="1"/>
      <c r="G13" s="1"/>
      <c r="H13" s="1"/>
    </row>
    <row r="14" spans="1:8" ht="25.05" customHeight="1">
      <c r="A14" s="1" t="s">
        <v>203</v>
      </c>
      <c r="B14" s="1"/>
      <c r="C14" s="1"/>
      <c r="D14" s="1"/>
      <c r="E14" s="1"/>
      <c r="F14" s="1"/>
      <c r="G14" s="1"/>
      <c r="H14" s="1"/>
    </row>
    <row r="15" spans="1:8" ht="25.05" customHeight="1">
      <c r="A15" s="1"/>
      <c r="B15" s="1"/>
      <c r="C15" s="1"/>
      <c r="D15" s="1"/>
      <c r="E15" s="1"/>
      <c r="F15" s="1"/>
      <c r="G15" s="1"/>
      <c r="H15" s="1"/>
    </row>
    <row r="16" spans="1:8" ht="25.05" customHeight="1">
      <c r="A16" s="1"/>
      <c r="B16" s="1"/>
      <c r="C16" s="1"/>
      <c r="D16" s="1"/>
      <c r="E16" s="1"/>
      <c r="F16" s="1"/>
      <c r="G16" s="1"/>
      <c r="H16" s="1"/>
    </row>
    <row r="17" spans="1:8" ht="25.05" customHeight="1">
      <c r="A17" s="1"/>
      <c r="B17" s="1"/>
      <c r="C17" s="1"/>
      <c r="D17" s="1"/>
      <c r="E17" s="1"/>
      <c r="F17" s="1"/>
      <c r="G17" s="1"/>
      <c r="H17" s="1"/>
    </row>
    <row r="18" spans="1:8" ht="25.05" customHeight="1">
      <c r="A18" s="1"/>
      <c r="B18" s="1"/>
      <c r="C18" s="1"/>
      <c r="D18" s="1"/>
      <c r="E18" s="1"/>
      <c r="F18" s="1"/>
      <c r="G18" s="1"/>
      <c r="H18" s="1"/>
    </row>
  </sheetData>
  <dataValidations count="1">
    <dataValidation type="decimal" sqref="B6:D6" xr:uid="{00000000-0002-0000-0500-000000000000}">
      <formula1>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2A37"/>
  </sheetPr>
  <dimension ref="A1:Q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2" width="16" customWidth="1"/>
    <col min="3" max="3" width="45" customWidth="1"/>
    <col min="4" max="4" width="19" customWidth="1"/>
    <col min="5" max="5" width="15" customWidth="1"/>
    <col min="6" max="6" width="12" customWidth="1"/>
    <col min="7" max="8" width="18" customWidth="1"/>
    <col min="9" max="9" width="15" customWidth="1"/>
    <col min="10" max="10" width="16" customWidth="1"/>
    <col min="11" max="11" width="19" customWidth="1"/>
    <col min="12" max="13" width="13" customWidth="1"/>
    <col min="14" max="14" width="22" customWidth="1"/>
    <col min="15" max="15" width="16" customWidth="1"/>
    <col min="16" max="17" width="20" customWidth="1"/>
  </cols>
  <sheetData>
    <row r="1" spans="1:17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.05" customHeight="1">
      <c r="A2" s="2" t="s">
        <v>204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5.05" customHeight="1">
      <c r="A3" s="3" t="s">
        <v>205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2" customHeight="1">
      <c r="A5" s="5" t="s">
        <v>72</v>
      </c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80</v>
      </c>
      <c r="J5" s="9" t="s">
        <v>81</v>
      </c>
      <c r="K5" s="9" t="s">
        <v>82</v>
      </c>
      <c r="L5" s="9" t="s">
        <v>83</v>
      </c>
      <c r="M5" s="9" t="s">
        <v>84</v>
      </c>
      <c r="N5" s="9" t="s">
        <v>206</v>
      </c>
      <c r="O5" s="9" t="s">
        <v>207</v>
      </c>
      <c r="P5" s="9" t="s">
        <v>17</v>
      </c>
      <c r="Q5" s="6" t="s">
        <v>19</v>
      </c>
    </row>
    <row r="6" spans="1:17" ht="25.05" customHeight="1">
      <c r="A6" s="11" t="str">
        <f>IF('Estimate lines'!$P6="","",IF('Estimate lines'!A6="","",'Estimate lines'!A6))</f>
        <v>L-001</v>
      </c>
      <c r="B6" s="11" t="str">
        <f>IF('Estimate lines'!$P6="","",IF('Estimate lines'!B6="","",'Estimate lines'!B6))</f>
        <v>SEC-01</v>
      </c>
      <c r="C6" s="11" t="str">
        <f>IF('Estimate lines'!$P6="","",IF('Estimate lines'!C6="","",'Estimate lines'!C6))</f>
        <v>Climate controller and interface</v>
      </c>
      <c r="D6" s="11" t="str">
        <f>IF('Estimate lines'!$P6="","",IF('Estimate lines'!D6="","",'Estimate lines'!D6))</f>
        <v>Product</v>
      </c>
      <c r="E6" s="12">
        <f>IF('Estimate lines'!$P6="","",IF('Estimate lines'!E6="","",'Estimate lines'!E6))</f>
        <v>1</v>
      </c>
      <c r="F6" s="20" t="str">
        <f>IF('Estimate lines'!$P6="","",IF('Estimate lines'!F6="","",'Estimate lines'!F6))</f>
        <v>ea</v>
      </c>
      <c r="G6" s="15">
        <f>IF('Estimate lines'!$P6="","",IF('Estimate lines'!G6="","",'Estimate lines'!G6))</f>
        <v>14500</v>
      </c>
      <c r="H6" s="15">
        <f>IF('Estimate lines'!$P6="","",IF('Estimate lines'!H6="","",'Estimate lines'!H6))</f>
        <v>19000</v>
      </c>
      <c r="I6" s="11" t="str">
        <f>IF('Estimate lines'!$P6="","",IF('Estimate lines'!I6="","",'Estimate lines'!I6))</f>
        <v>No</v>
      </c>
      <c r="J6" s="11" t="str">
        <f>IF('Estimate lines'!$P6="","",IF('Estimate lines'!J6="","",'Estimate lines'!J6))</f>
        <v>SRC-01</v>
      </c>
      <c r="K6" s="16">
        <f>IF('Estimate lines'!$P6="","",IF('Estimate lines'!K6="","",'Estimate lines'!K6))</f>
        <v>46275</v>
      </c>
      <c r="L6" s="11" t="str">
        <f>IF('Estimate lines'!$P6="","",IF('Estimate lines'!L6="","",'Estimate lines'!L6))</f>
        <v>Yes</v>
      </c>
      <c r="M6" s="11" t="str">
        <f>IF('Estimate lines'!$P6="","",IF('Estimate lines'!M6="","",'Estimate lines'!M6))</f>
        <v>Yes</v>
      </c>
      <c r="N6" s="11" t="str">
        <f t="shared" ref="N6:N37" si="0">IF(A6="","","Estimate lines")</f>
        <v>Estimate lines</v>
      </c>
      <c r="O6" s="11">
        <f t="shared" ref="O6:O37" si="1">IF(A6="","",ROW())</f>
        <v>6</v>
      </c>
      <c r="P6" s="15">
        <f>IF(A6="","",'Estimate lines'!N6)</f>
        <v>14500</v>
      </c>
      <c r="Q6" s="15">
        <f>IF(A6="","",'Estimate lines'!O6)</f>
        <v>19000</v>
      </c>
    </row>
    <row r="7" spans="1:17" ht="25.05" customHeight="1">
      <c r="A7" s="11" t="str">
        <f>IF('Estimate lines'!$P7="","",IF('Estimate lines'!A7="","",'Estimate lines'!A7))</f>
        <v>L-002</v>
      </c>
      <c r="B7" s="11" t="str">
        <f>IF('Estimate lines'!$P7="","",IF('Estimate lines'!B7="","",'Estimate lines'!B7))</f>
        <v>SEC-01</v>
      </c>
      <c r="C7" s="11" t="str">
        <f>IF('Estimate lines'!$P7="","",IF('Estimate lines'!C7="","",'Estimate lines'!C7))</f>
        <v>Temperature and humidity sensors</v>
      </c>
      <c r="D7" s="11" t="str">
        <f>IF('Estimate lines'!$P7="","",IF('Estimate lines'!D7="","",'Estimate lines'!D7))</f>
        <v>Product</v>
      </c>
      <c r="E7" s="12">
        <f>IF('Estimate lines'!$P7="","",IF('Estimate lines'!E7="","",'Estimate lines'!E7))</f>
        <v>6</v>
      </c>
      <c r="F7" s="20" t="str">
        <f>IF('Estimate lines'!$P7="","",IF('Estimate lines'!F7="","",'Estimate lines'!F7))</f>
        <v>ea</v>
      </c>
      <c r="G7" s="15">
        <f>IF('Estimate lines'!$P7="","",IF('Estimate lines'!G7="","",'Estimate lines'!G7))</f>
        <v>225</v>
      </c>
      <c r="H7" s="15">
        <f>IF('Estimate lines'!$P7="","",IF('Estimate lines'!H7="","",'Estimate lines'!H7))</f>
        <v>320</v>
      </c>
      <c r="I7" s="11" t="str">
        <f>IF('Estimate lines'!$P7="","",IF('Estimate lines'!I7="","",'Estimate lines'!I7))</f>
        <v>No</v>
      </c>
      <c r="J7" s="11" t="str">
        <f>IF('Estimate lines'!$P7="","",IF('Estimate lines'!J7="","",'Estimate lines'!J7))</f>
        <v>SRC-01</v>
      </c>
      <c r="K7" s="16">
        <f>IF('Estimate lines'!$P7="","",IF('Estimate lines'!K7="","",'Estimate lines'!K7))</f>
        <v>46275</v>
      </c>
      <c r="L7" s="11" t="str">
        <f>IF('Estimate lines'!$P7="","",IF('Estimate lines'!L7="","",'Estimate lines'!L7))</f>
        <v>Yes</v>
      </c>
      <c r="M7" s="11" t="str">
        <f>IF('Estimate lines'!$P7="","",IF('Estimate lines'!M7="","",'Estimate lines'!M7))</f>
        <v>Yes</v>
      </c>
      <c r="N7" s="11" t="str">
        <f t="shared" si="0"/>
        <v>Estimate lines</v>
      </c>
      <c r="O7" s="11">
        <f t="shared" si="1"/>
        <v>7</v>
      </c>
      <c r="P7" s="15">
        <f>IF(A7="","",'Estimate lines'!N7)</f>
        <v>1350</v>
      </c>
      <c r="Q7" s="15">
        <f>IF(A7="","",'Estimate lines'!O7)</f>
        <v>1920</v>
      </c>
    </row>
    <row r="8" spans="1:17" ht="25.05" customHeight="1">
      <c r="A8" s="11" t="str">
        <f>IF('Estimate lines'!$P8="","",IF('Estimate lines'!A8="","",'Estimate lines'!A8))</f>
        <v>L-003</v>
      </c>
      <c r="B8" s="11" t="str">
        <f>IF('Estimate lines'!$P8="","",IF('Estimate lines'!B8="","",'Estimate lines'!B8))</f>
        <v>SEC-02</v>
      </c>
      <c r="C8" s="11" t="str">
        <f>IF('Estimate lines'!$P8="","",IF('Estimate lines'!C8="","",'Estimate lines'!C8))</f>
        <v>Fertigation dosing assembly</v>
      </c>
      <c r="D8" s="11" t="str">
        <f>IF('Estimate lines'!$P8="","",IF('Estimate lines'!D8="","",'Estimate lines'!D8))</f>
        <v>Product</v>
      </c>
      <c r="E8" s="12">
        <f>IF('Estimate lines'!$P8="","",IF('Estimate lines'!E8="","",'Estimate lines'!E8))</f>
        <v>1</v>
      </c>
      <c r="F8" s="20" t="str">
        <f>IF('Estimate lines'!$P8="","",IF('Estimate lines'!F8="","",'Estimate lines'!F8))</f>
        <v>ea</v>
      </c>
      <c r="G8" s="15">
        <f>IF('Estimate lines'!$P8="","",IF('Estimate lines'!G8="","",'Estimate lines'!G8))</f>
        <v>18500</v>
      </c>
      <c r="H8" s="15">
        <f>IF('Estimate lines'!$P8="","",IF('Estimate lines'!H8="","",'Estimate lines'!H8))</f>
        <v>24500</v>
      </c>
      <c r="I8" s="11" t="str">
        <f>IF('Estimate lines'!$P8="","",IF('Estimate lines'!I8="","",'Estimate lines'!I8))</f>
        <v>No</v>
      </c>
      <c r="J8" s="11" t="str">
        <f>IF('Estimate lines'!$P8="","",IF('Estimate lines'!J8="","",'Estimate lines'!J8))</f>
        <v>SRC-02</v>
      </c>
      <c r="K8" s="16">
        <f>IF('Estimate lines'!$P8="","",IF('Estimate lines'!K8="","",'Estimate lines'!K8))</f>
        <v>46275</v>
      </c>
      <c r="L8" s="11" t="str">
        <f>IF('Estimate lines'!$P8="","",IF('Estimate lines'!L8="","",'Estimate lines'!L8))</f>
        <v>Yes</v>
      </c>
      <c r="M8" s="11" t="str">
        <f>IF('Estimate lines'!$P8="","",IF('Estimate lines'!M8="","",'Estimate lines'!M8))</f>
        <v>Yes</v>
      </c>
      <c r="N8" s="11" t="str">
        <f t="shared" si="0"/>
        <v>Estimate lines</v>
      </c>
      <c r="O8" s="11">
        <f t="shared" si="1"/>
        <v>8</v>
      </c>
      <c r="P8" s="15">
        <f>IF(A8="","",'Estimate lines'!N8)</f>
        <v>18500</v>
      </c>
      <c r="Q8" s="15">
        <f>IF(A8="","",'Estimate lines'!O8)</f>
        <v>24500</v>
      </c>
    </row>
    <row r="9" spans="1:17" ht="25.05" customHeight="1">
      <c r="A9" s="11" t="str">
        <f>IF('Estimate lines'!$P9="","",IF('Estimate lines'!A9="","",'Estimate lines'!A9))</f>
        <v>L-004</v>
      </c>
      <c r="B9" s="11" t="str">
        <f>IF('Estimate lines'!$P9="","",IF('Estimate lines'!B9="","",'Estimate lines'!B9))</f>
        <v>SEC-02</v>
      </c>
      <c r="C9" s="11" t="str">
        <f>IF('Estimate lines'!$P9="","",IF('Estimate lines'!C9="","",'Estimate lines'!C9))</f>
        <v>Irrigation pipework</v>
      </c>
      <c r="D9" s="11" t="str">
        <f>IF('Estimate lines'!$P9="","",IF('Estimate lines'!D9="","",'Estimate lines'!D9))</f>
        <v>Product</v>
      </c>
      <c r="E9" s="12">
        <f>IF('Estimate lines'!$P9="","",IF('Estimate lines'!E9="","",'Estimate lines'!E9))</f>
        <v>180.5</v>
      </c>
      <c r="F9" s="20" t="str">
        <f>IF('Estimate lines'!$P9="","",IF('Estimate lines'!F9="","",'Estimate lines'!F9))</f>
        <v>m</v>
      </c>
      <c r="G9" s="15">
        <f>IF('Estimate lines'!$P9="","",IF('Estimate lines'!G9="","",'Estimate lines'!G9))</f>
        <v>6.75</v>
      </c>
      <c r="H9" s="15">
        <f>IF('Estimate lines'!$P9="","",IF('Estimate lines'!H9="","",'Estimate lines'!H9))</f>
        <v>9.25</v>
      </c>
      <c r="I9" s="11" t="str">
        <f>IF('Estimate lines'!$P9="","",IF('Estimate lines'!I9="","",'Estimate lines'!I9))</f>
        <v>No</v>
      </c>
      <c r="J9" s="11" t="str">
        <f>IF('Estimate lines'!$P9="","",IF('Estimate lines'!J9="","",'Estimate lines'!J9))</f>
        <v>SRC-02</v>
      </c>
      <c r="K9" s="16">
        <f>IF('Estimate lines'!$P9="","",IF('Estimate lines'!K9="","",'Estimate lines'!K9))</f>
        <v>46275</v>
      </c>
      <c r="L9" s="11" t="str">
        <f>IF('Estimate lines'!$P9="","",IF('Estimate lines'!L9="","",'Estimate lines'!L9))</f>
        <v>Yes</v>
      </c>
      <c r="M9" s="11" t="str">
        <f>IF('Estimate lines'!$P9="","",IF('Estimate lines'!M9="","",'Estimate lines'!M9))</f>
        <v>Yes</v>
      </c>
      <c r="N9" s="11" t="str">
        <f t="shared" si="0"/>
        <v>Estimate lines</v>
      </c>
      <c r="O9" s="11">
        <f t="shared" si="1"/>
        <v>9</v>
      </c>
      <c r="P9" s="15">
        <f>IF(A9="","",'Estimate lines'!N9)</f>
        <v>1218.3800000000001</v>
      </c>
      <c r="Q9" s="15">
        <f>IF(A9="","",'Estimate lines'!O9)</f>
        <v>1669.63</v>
      </c>
    </row>
    <row r="10" spans="1:17" ht="25.05" customHeight="1">
      <c r="A10" s="11" t="str">
        <f>IF('Estimate lines'!$P10="","",IF('Estimate lines'!A10="","",'Estimate lines'!A10))</f>
        <v>L-005</v>
      </c>
      <c r="B10" s="11" t="str">
        <f>IF('Estimate lines'!$P10="","",IF('Estimate lines'!B10="","",'Estimate lines'!B10))</f>
        <v>SEC-02</v>
      </c>
      <c r="C10" s="11" t="str">
        <f>IF('Estimate lines'!$P10="","",IF('Estimate lines'!C10="","",'Estimate lines'!C10))</f>
        <v>Irrigation valve assemblies</v>
      </c>
      <c r="D10" s="11" t="str">
        <f>IF('Estimate lines'!$P10="","",IF('Estimate lines'!D10="","",'Estimate lines'!D10))</f>
        <v>Product</v>
      </c>
      <c r="E10" s="12">
        <f>IF('Estimate lines'!$P10="","",IF('Estimate lines'!E10="","",'Estimate lines'!E10))</f>
        <v>8</v>
      </c>
      <c r="F10" s="20" t="str">
        <f>IF('Estimate lines'!$P10="","",IF('Estimate lines'!F10="","",'Estimate lines'!F10))</f>
        <v>ea</v>
      </c>
      <c r="G10" s="15">
        <f>IF('Estimate lines'!$P10="","",IF('Estimate lines'!G10="","",'Estimate lines'!G10))</f>
        <v>175</v>
      </c>
      <c r="H10" s="15">
        <f>IF('Estimate lines'!$P10="","",IF('Estimate lines'!H10="","",'Estimate lines'!H10))</f>
        <v>245</v>
      </c>
      <c r="I10" s="11" t="str">
        <f>IF('Estimate lines'!$P10="","",IF('Estimate lines'!I10="","",'Estimate lines'!I10))</f>
        <v>No</v>
      </c>
      <c r="J10" s="11" t="str">
        <f>IF('Estimate lines'!$P10="","",IF('Estimate lines'!J10="","",'Estimate lines'!J10))</f>
        <v>SRC-02</v>
      </c>
      <c r="K10" s="16">
        <f>IF('Estimate lines'!$P10="","",IF('Estimate lines'!K10="","",'Estimate lines'!K10))</f>
        <v>46275</v>
      </c>
      <c r="L10" s="11" t="str">
        <f>IF('Estimate lines'!$P10="","",IF('Estimate lines'!L10="","",'Estimate lines'!L10))</f>
        <v>Yes</v>
      </c>
      <c r="M10" s="11" t="str">
        <f>IF('Estimate lines'!$P10="","",IF('Estimate lines'!M10="","",'Estimate lines'!M10))</f>
        <v>Yes</v>
      </c>
      <c r="N10" s="11" t="str">
        <f t="shared" si="0"/>
        <v>Estimate lines</v>
      </c>
      <c r="O10" s="11">
        <f t="shared" si="1"/>
        <v>10</v>
      </c>
      <c r="P10" s="15">
        <f>IF(A10="","",'Estimate lines'!N10)</f>
        <v>1400</v>
      </c>
      <c r="Q10" s="15">
        <f>IF(A10="","",'Estimate lines'!O10)</f>
        <v>1960</v>
      </c>
    </row>
    <row r="11" spans="1:17" ht="25.05" customHeight="1">
      <c r="A11" s="11" t="str">
        <f>IF('Estimate lines'!$P11="","",IF('Estimate lines'!A11="","",'Estimate lines'!A11))</f>
        <v>L-006</v>
      </c>
      <c r="B11" s="11" t="str">
        <f>IF('Estimate lines'!$P11="","",IF('Estimate lines'!B11="","",'Estimate lines'!B11))</f>
        <v>SEC-03</v>
      </c>
      <c r="C11" s="11" t="str">
        <f>IF('Estimate lines'!$P11="","",IF('Estimate lines'!C11="","",'Estimate lines'!C11))</f>
        <v>LED luminaires</v>
      </c>
      <c r="D11" s="11" t="str">
        <f>IF('Estimate lines'!$P11="","",IF('Estimate lines'!D11="","",'Estimate lines'!D11))</f>
        <v>Product</v>
      </c>
      <c r="E11" s="12">
        <f>IF('Estimate lines'!$P11="","",IF('Estimate lines'!E11="","",'Estimate lines'!E11))</f>
        <v>24</v>
      </c>
      <c r="F11" s="20" t="str">
        <f>IF('Estimate lines'!$P11="","",IF('Estimate lines'!F11="","",'Estimate lines'!F11))</f>
        <v>ea</v>
      </c>
      <c r="G11" s="15">
        <f>IF('Estimate lines'!$P11="","",IF('Estimate lines'!G11="","",'Estimate lines'!G11))</f>
        <v>465</v>
      </c>
      <c r="H11" s="15">
        <f>IF('Estimate lines'!$P11="","",IF('Estimate lines'!H11="","",'Estimate lines'!H11))</f>
        <v>620</v>
      </c>
      <c r="I11" s="11" t="str">
        <f>IF('Estimate lines'!$P11="","",IF('Estimate lines'!I11="","",'Estimate lines'!I11))</f>
        <v>No</v>
      </c>
      <c r="J11" s="11" t="str">
        <f>IF('Estimate lines'!$P11="","",IF('Estimate lines'!J11="","",'Estimate lines'!J11))</f>
        <v>SRC-03</v>
      </c>
      <c r="K11" s="16">
        <f>IF('Estimate lines'!$P11="","",IF('Estimate lines'!K11="","",'Estimate lines'!K11))</f>
        <v>46276</v>
      </c>
      <c r="L11" s="11" t="str">
        <f>IF('Estimate lines'!$P11="","",IF('Estimate lines'!L11="","",'Estimate lines'!L11))</f>
        <v>Yes</v>
      </c>
      <c r="M11" s="11" t="str">
        <f>IF('Estimate lines'!$P11="","",IF('Estimate lines'!M11="","",'Estimate lines'!M11))</f>
        <v>Yes</v>
      </c>
      <c r="N11" s="11" t="str">
        <f t="shared" si="0"/>
        <v>Estimate lines</v>
      </c>
      <c r="O11" s="11">
        <f t="shared" si="1"/>
        <v>11</v>
      </c>
      <c r="P11" s="15">
        <f>IF(A11="","",'Estimate lines'!N11)</f>
        <v>11160</v>
      </c>
      <c r="Q11" s="15">
        <f>IF(A11="","",'Estimate lines'!O11)</f>
        <v>14880</v>
      </c>
    </row>
    <row r="12" spans="1:17" ht="25.05" customHeight="1">
      <c r="A12" s="11" t="str">
        <f>IF('Estimate lines'!$P12="","",IF('Estimate lines'!A12="","",'Estimate lines'!A12))</f>
        <v>L-007</v>
      </c>
      <c r="B12" s="11" t="str">
        <f>IF('Estimate lines'!$P12="","",IF('Estimate lines'!B12="","",'Estimate lines'!B12))</f>
        <v>SEC-03</v>
      </c>
      <c r="C12" s="11" t="str">
        <f>IF('Estimate lines'!$P12="","",IF('Estimate lines'!C12="","",'Estimate lines'!C12))</f>
        <v>Luminaire mounting brackets</v>
      </c>
      <c r="D12" s="11" t="str">
        <f>IF('Estimate lines'!$P12="","",IF('Estimate lines'!D12="","",'Estimate lines'!D12))</f>
        <v>Product</v>
      </c>
      <c r="E12" s="12">
        <f>IF('Estimate lines'!$P12="","",IF('Estimate lines'!E12="","",'Estimate lines'!E12))</f>
        <v>24</v>
      </c>
      <c r="F12" s="20" t="str">
        <f>IF('Estimate lines'!$P12="","",IF('Estimate lines'!F12="","",'Estimate lines'!F12))</f>
        <v>ea</v>
      </c>
      <c r="G12" s="15">
        <f>IF('Estimate lines'!$P12="","",IF('Estimate lines'!G12="","",'Estimate lines'!G12))</f>
        <v>8.5</v>
      </c>
      <c r="H12" s="15">
        <f>IF('Estimate lines'!$P12="","",IF('Estimate lines'!H12="","",'Estimate lines'!H12))</f>
        <v>12</v>
      </c>
      <c r="I12" s="11" t="str">
        <f>IF('Estimate lines'!$P12="","",IF('Estimate lines'!I12="","",'Estimate lines'!I12))</f>
        <v>No</v>
      </c>
      <c r="J12" s="11" t="str">
        <f>IF('Estimate lines'!$P12="","",IF('Estimate lines'!J12="","",'Estimate lines'!J12))</f>
        <v>SRC-03</v>
      </c>
      <c r="K12" s="16">
        <f>IF('Estimate lines'!$P12="","",IF('Estimate lines'!K12="","",'Estimate lines'!K12))</f>
        <v>46276</v>
      </c>
      <c r="L12" s="11" t="str">
        <f>IF('Estimate lines'!$P12="","",IF('Estimate lines'!L12="","",'Estimate lines'!L12))</f>
        <v>Yes</v>
      </c>
      <c r="M12" s="11" t="str">
        <f>IF('Estimate lines'!$P12="","",IF('Estimate lines'!M12="","",'Estimate lines'!M12))</f>
        <v>Yes</v>
      </c>
      <c r="N12" s="11" t="str">
        <f t="shared" si="0"/>
        <v>Estimate lines</v>
      </c>
      <c r="O12" s="11">
        <f t="shared" si="1"/>
        <v>12</v>
      </c>
      <c r="P12" s="15">
        <f>IF(A12="","",'Estimate lines'!N12)</f>
        <v>204</v>
      </c>
      <c r="Q12" s="15">
        <f>IF(A12="","",'Estimate lines'!O12)</f>
        <v>288</v>
      </c>
    </row>
    <row r="13" spans="1:17" ht="25.05" customHeight="1">
      <c r="A13" s="11" t="str">
        <f>IF('Estimate lines'!$P13="","",IF('Estimate lines'!A13="","",'Estimate lines'!A13))</f>
        <v>L-008</v>
      </c>
      <c r="B13" s="11" t="str">
        <f>IF('Estimate lines'!$P13="","",IF('Estimate lines'!B13="","",'Estimate lines'!B13))</f>
        <v>SEC-04</v>
      </c>
      <c r="C13" s="11" t="str">
        <f>IF('Estimate lines'!$P13="","",IF('Estimate lines'!C13="","",'Estimate lines'!C13))</f>
        <v>Mechanical installation labour</v>
      </c>
      <c r="D13" s="11" t="str">
        <f>IF('Estimate lines'!$P13="","",IF('Estimate lines'!D13="","",'Estimate lines'!D13))</f>
        <v>Labour</v>
      </c>
      <c r="E13" s="12">
        <f>IF('Estimate lines'!$P13="","",IF('Estimate lines'!E13="","",'Estimate lines'!E13))</f>
        <v>80</v>
      </c>
      <c r="F13" s="20" t="str">
        <f>IF('Estimate lines'!$P13="","",IF('Estimate lines'!F13="","",'Estimate lines'!F13))</f>
        <v>h</v>
      </c>
      <c r="G13" s="15">
        <f>IF('Estimate lines'!$P13="","",IF('Estimate lines'!G13="","",'Estimate lines'!G13))</f>
        <v>70</v>
      </c>
      <c r="H13" s="15">
        <f>IF('Estimate lines'!$P13="","",IF('Estimate lines'!H13="","",'Estimate lines'!H13))</f>
        <v>110</v>
      </c>
      <c r="I13" s="11" t="str">
        <f>IF('Estimate lines'!$P13="","",IF('Estimate lines'!I13="","",'Estimate lines'!I13))</f>
        <v>No</v>
      </c>
      <c r="J13" s="11" t="str">
        <f>IF('Estimate lines'!$P13="","",IF('Estimate lines'!J13="","",'Estimate lines'!J13))</f>
        <v>SRC-04</v>
      </c>
      <c r="K13" s="16">
        <f>IF('Estimate lines'!$P13="","",IF('Estimate lines'!K13="","",'Estimate lines'!K13))</f>
        <v>46277</v>
      </c>
      <c r="L13" s="11" t="str">
        <f>IF('Estimate lines'!$P13="","",IF('Estimate lines'!L13="","",'Estimate lines'!L13))</f>
        <v>Yes</v>
      </c>
      <c r="M13" s="11" t="str">
        <f>IF('Estimate lines'!$P13="","",IF('Estimate lines'!M13="","",'Estimate lines'!M13))</f>
        <v>Yes</v>
      </c>
      <c r="N13" s="11" t="str">
        <f t="shared" si="0"/>
        <v>Estimate lines</v>
      </c>
      <c r="O13" s="11">
        <f t="shared" si="1"/>
        <v>13</v>
      </c>
      <c r="P13" s="15">
        <f>IF(A13="","",'Estimate lines'!N13)</f>
        <v>5600</v>
      </c>
      <c r="Q13" s="15">
        <f>IF(A13="","",'Estimate lines'!O13)</f>
        <v>8800</v>
      </c>
    </row>
    <row r="14" spans="1:17" ht="25.05" customHeight="1">
      <c r="A14" s="11" t="str">
        <f>IF('Estimate lines'!$P14="","",IF('Estimate lines'!A14="","",'Estimate lines'!A14))</f>
        <v>L-009</v>
      </c>
      <c r="B14" s="11" t="str">
        <f>IF('Estimate lines'!$P14="","",IF('Estimate lines'!B14="","",'Estimate lines'!B14))</f>
        <v>SEC-04</v>
      </c>
      <c r="C14" s="11" t="str">
        <f>IF('Estimate lines'!$P14="","",IF('Estimate lines'!C14="","",'Estimate lines'!C14))</f>
        <v>Electrical subcontract allowance</v>
      </c>
      <c r="D14" s="11" t="str">
        <f>IF('Estimate lines'!$P14="","",IF('Estimate lines'!D14="","",'Estimate lines'!D14))</f>
        <v>Subcontract</v>
      </c>
      <c r="E14" s="12">
        <f>IF('Estimate lines'!$P14="","",IF('Estimate lines'!E14="","",'Estimate lines'!E14))</f>
        <v>1</v>
      </c>
      <c r="F14" s="20" t="str">
        <f>IF('Estimate lines'!$P14="","",IF('Estimate lines'!F14="","",'Estimate lines'!F14))</f>
        <v>lot</v>
      </c>
      <c r="G14" s="15">
        <f>IF('Estimate lines'!$P14="","",IF('Estimate lines'!G14="","",'Estimate lines'!G14))</f>
        <v>4200</v>
      </c>
      <c r="H14" s="15">
        <f>IF('Estimate lines'!$P14="","",IF('Estimate lines'!H14="","",'Estimate lines'!H14))</f>
        <v>5400</v>
      </c>
      <c r="I14" s="11" t="str">
        <f>IF('Estimate lines'!$P14="","",IF('Estimate lines'!I14="","",'Estimate lines'!I14))</f>
        <v>Yes</v>
      </c>
      <c r="J14" s="11" t="str">
        <f>IF('Estimate lines'!$P14="","",IF('Estimate lines'!J14="","",'Estimate lines'!J14))</f>
        <v>SRC-06</v>
      </c>
      <c r="K14" s="16">
        <f>IF('Estimate lines'!$P14="","",IF('Estimate lines'!K14="","",'Estimate lines'!K14))</f>
        <v>46277</v>
      </c>
      <c r="L14" s="11" t="str">
        <f>IF('Estimate lines'!$P14="","",IF('Estimate lines'!L14="","",'Estimate lines'!L14))</f>
        <v>Yes</v>
      </c>
      <c r="M14" s="11" t="str">
        <f>IF('Estimate lines'!$P14="","",IF('Estimate lines'!M14="","",'Estimate lines'!M14))</f>
        <v>Yes</v>
      </c>
      <c r="N14" s="11" t="str">
        <f t="shared" si="0"/>
        <v>Estimate lines</v>
      </c>
      <c r="O14" s="11">
        <f t="shared" si="1"/>
        <v>14</v>
      </c>
      <c r="P14" s="15">
        <f>IF(A14="","",'Estimate lines'!N14)</f>
        <v>4200</v>
      </c>
      <c r="Q14" s="15">
        <f>IF(A14="","",'Estimate lines'!O14)</f>
        <v>5400</v>
      </c>
    </row>
    <row r="15" spans="1:17" ht="25.05" customHeight="1">
      <c r="A15" s="11" t="str">
        <f>IF('Estimate lines'!$P15="","",IF('Estimate lines'!A15="","",'Estimate lines'!A15))</f>
        <v>L-010</v>
      </c>
      <c r="B15" s="11" t="str">
        <f>IF('Estimate lines'!$P15="","",IF('Estimate lines'!B15="","",'Estimate lines'!B15))</f>
        <v>SEC-05</v>
      </c>
      <c r="C15" s="11" t="str">
        <f>IF('Estimate lines'!$P15="","",IF('Estimate lines'!C15="","",'Estimate lines'!C15))</f>
        <v>Controls design and documentation</v>
      </c>
      <c r="D15" s="11" t="str">
        <f>IF('Estimate lines'!$P15="","",IF('Estimate lines'!D15="","",'Estimate lines'!D15))</f>
        <v>Engineering</v>
      </c>
      <c r="E15" s="12">
        <f>IF('Estimate lines'!$P15="","",IF('Estimate lines'!E15="","",'Estimate lines'!E15))</f>
        <v>24</v>
      </c>
      <c r="F15" s="20" t="str">
        <f>IF('Estimate lines'!$P15="","",IF('Estimate lines'!F15="","",'Estimate lines'!F15))</f>
        <v>h</v>
      </c>
      <c r="G15" s="15">
        <f>IF('Estimate lines'!$P15="","",IF('Estimate lines'!G15="","",'Estimate lines'!G15))</f>
        <v>85</v>
      </c>
      <c r="H15" s="15">
        <f>IF('Estimate lines'!$P15="","",IF('Estimate lines'!H15="","",'Estimate lines'!H15))</f>
        <v>135</v>
      </c>
      <c r="I15" s="11" t="str">
        <f>IF('Estimate lines'!$P15="","",IF('Estimate lines'!I15="","",'Estimate lines'!I15))</f>
        <v>No</v>
      </c>
      <c r="J15" s="11" t="str">
        <f>IF('Estimate lines'!$P15="","",IF('Estimate lines'!J15="","",'Estimate lines'!J15))</f>
        <v>SRC-04</v>
      </c>
      <c r="K15" s="16">
        <f>IF('Estimate lines'!$P15="","",IF('Estimate lines'!K15="","",'Estimate lines'!K15))</f>
        <v>46277</v>
      </c>
      <c r="L15" s="11" t="str">
        <f>IF('Estimate lines'!$P15="","",IF('Estimate lines'!L15="","",'Estimate lines'!L15))</f>
        <v>Yes</v>
      </c>
      <c r="M15" s="11" t="str">
        <f>IF('Estimate lines'!$P15="","",IF('Estimate lines'!M15="","",'Estimate lines'!M15))</f>
        <v>Yes</v>
      </c>
      <c r="N15" s="11" t="str">
        <f t="shared" si="0"/>
        <v>Estimate lines</v>
      </c>
      <c r="O15" s="11">
        <f t="shared" si="1"/>
        <v>15</v>
      </c>
      <c r="P15" s="15">
        <f>IF(A15="","",'Estimate lines'!N15)</f>
        <v>2040</v>
      </c>
      <c r="Q15" s="15">
        <f>IF(A15="","",'Estimate lines'!O15)</f>
        <v>3240</v>
      </c>
    </row>
    <row r="16" spans="1:17" ht="25.05" customHeight="1">
      <c r="A16" s="11" t="str">
        <f>IF('Estimate lines'!$P16="","",IF('Estimate lines'!A16="","",'Estimate lines'!A16))</f>
        <v>L-011</v>
      </c>
      <c r="B16" s="11" t="str">
        <f>IF('Estimate lines'!$P16="","",IF('Estimate lines'!B16="","",'Estimate lines'!B16))</f>
        <v>SEC-06</v>
      </c>
      <c r="C16" s="11" t="str">
        <f>IF('Estimate lines'!$P16="","",IF('Estimate lines'!C16="","",'Estimate lines'!C16))</f>
        <v>Site delivery allowance</v>
      </c>
      <c r="D16" s="11" t="str">
        <f>IF('Estimate lines'!$P16="","",IF('Estimate lines'!D16="","",'Estimate lines'!D16))</f>
        <v>Freight</v>
      </c>
      <c r="E16" s="12">
        <f>IF('Estimate lines'!$P16="","",IF('Estimate lines'!E16="","",'Estimate lines'!E16))</f>
        <v>1</v>
      </c>
      <c r="F16" s="20" t="str">
        <f>IF('Estimate lines'!$P16="","",IF('Estimate lines'!F16="","",'Estimate lines'!F16))</f>
        <v>lot</v>
      </c>
      <c r="G16" s="15">
        <f>IF('Estimate lines'!$P16="","",IF('Estimate lines'!G16="","",'Estimate lines'!G16))</f>
        <v>1500</v>
      </c>
      <c r="H16" s="15">
        <f>IF('Estimate lines'!$P16="","",IF('Estimate lines'!H16="","",'Estimate lines'!H16))</f>
        <v>1950</v>
      </c>
      <c r="I16" s="11" t="str">
        <f>IF('Estimate lines'!$P16="","",IF('Estimate lines'!I16="","",'Estimate lines'!I16))</f>
        <v>Yes</v>
      </c>
      <c r="J16" s="11" t="str">
        <f>IF('Estimate lines'!$P16="","",IF('Estimate lines'!J16="","",'Estimate lines'!J16))</f>
        <v>SRC-05</v>
      </c>
      <c r="K16" s="16">
        <f>IF('Estimate lines'!$P16="","",IF('Estimate lines'!K16="","",'Estimate lines'!K16))</f>
        <v>46277</v>
      </c>
      <c r="L16" s="11" t="str">
        <f>IF('Estimate lines'!$P16="","",IF('Estimate lines'!L16="","",'Estimate lines'!L16))</f>
        <v>Yes</v>
      </c>
      <c r="M16" s="11" t="str">
        <f>IF('Estimate lines'!$P16="","",IF('Estimate lines'!M16="","",'Estimate lines'!M16))</f>
        <v>Yes</v>
      </c>
      <c r="N16" s="11" t="str">
        <f t="shared" si="0"/>
        <v>Estimate lines</v>
      </c>
      <c r="O16" s="11">
        <f t="shared" si="1"/>
        <v>16</v>
      </c>
      <c r="P16" s="15">
        <f>IF(A16="","",'Estimate lines'!N16)</f>
        <v>1500</v>
      </c>
      <c r="Q16" s="15">
        <f>IF(A16="","",'Estimate lines'!O16)</f>
        <v>1950</v>
      </c>
    </row>
    <row r="17" spans="1:17" ht="25.05" customHeight="1">
      <c r="A17" s="11" t="str">
        <f>IF('Estimate lines'!$P17="","",IF('Estimate lines'!A17="","",'Estimate lines'!A17))</f>
        <v>L-012</v>
      </c>
      <c r="B17" s="11" t="str">
        <f>IF('Estimate lines'!$P17="","",IF('Estimate lines'!B17="","",'Estimate lines'!B17))</f>
        <v>SEC-07</v>
      </c>
      <c r="C17" s="11" t="str">
        <f>IF('Estimate lines'!$P17="","",IF('Estimate lines'!C17="","",'Estimate lines'!C17))</f>
        <v>Commissioning and operator training</v>
      </c>
      <c r="D17" s="11" t="str">
        <f>IF('Estimate lines'!$P17="","",IF('Estimate lines'!D17="","",'Estimate lines'!D17))</f>
        <v>Labour</v>
      </c>
      <c r="E17" s="12">
        <f>IF('Estimate lines'!$P17="","",IF('Estimate lines'!E17="","",'Estimate lines'!E17))</f>
        <v>16</v>
      </c>
      <c r="F17" s="20" t="str">
        <f>IF('Estimate lines'!$P17="","",IF('Estimate lines'!F17="","",'Estimate lines'!F17))</f>
        <v>h</v>
      </c>
      <c r="G17" s="15">
        <f>IF('Estimate lines'!$P17="","",IF('Estimate lines'!G17="","",'Estimate lines'!G17))</f>
        <v>80</v>
      </c>
      <c r="H17" s="15">
        <f>IF('Estimate lines'!$P17="","",IF('Estimate lines'!H17="","",'Estimate lines'!H17))</f>
        <v>125</v>
      </c>
      <c r="I17" s="11" t="str">
        <f>IF('Estimate lines'!$P17="","",IF('Estimate lines'!I17="","",'Estimate lines'!I17))</f>
        <v>No</v>
      </c>
      <c r="J17" s="11" t="str">
        <f>IF('Estimate lines'!$P17="","",IF('Estimate lines'!J17="","",'Estimate lines'!J17))</f>
        <v>SRC-04</v>
      </c>
      <c r="K17" s="16">
        <f>IF('Estimate lines'!$P17="","",IF('Estimate lines'!K17="","",'Estimate lines'!K17))</f>
        <v>46277</v>
      </c>
      <c r="L17" s="11" t="str">
        <f>IF('Estimate lines'!$P17="","",IF('Estimate lines'!L17="","",'Estimate lines'!L17))</f>
        <v>Yes</v>
      </c>
      <c r="M17" s="11" t="str">
        <f>IF('Estimate lines'!$P17="","",IF('Estimate lines'!M17="","",'Estimate lines'!M17))</f>
        <v>Yes</v>
      </c>
      <c r="N17" s="11" t="str">
        <f t="shared" si="0"/>
        <v>Estimate lines</v>
      </c>
      <c r="O17" s="11">
        <f t="shared" si="1"/>
        <v>17</v>
      </c>
      <c r="P17" s="15">
        <f>IF(A17="","",'Estimate lines'!N17)</f>
        <v>1280</v>
      </c>
      <c r="Q17" s="15">
        <f>IF(A17="","",'Estimate lines'!O17)</f>
        <v>2000</v>
      </c>
    </row>
    <row r="18" spans="1:17" ht="25.05" customHeight="1">
      <c r="A18" s="11" t="str">
        <f>IF('Estimate lines'!$P18="","",IF('Estimate lines'!A18="","",'Estimate lines'!A18))</f>
        <v/>
      </c>
      <c r="B18" s="11" t="str">
        <f>IF('Estimate lines'!$P18="","",IF('Estimate lines'!B18="","",'Estimate lines'!B18))</f>
        <v/>
      </c>
      <c r="C18" s="11" t="str">
        <f>IF('Estimate lines'!$P18="","",IF('Estimate lines'!C18="","",'Estimate lines'!C18))</f>
        <v/>
      </c>
      <c r="D18" s="11" t="str">
        <f>IF('Estimate lines'!$P18="","",IF('Estimate lines'!D18="","",'Estimate lines'!D18))</f>
        <v/>
      </c>
      <c r="E18" s="12" t="str">
        <f>IF('Estimate lines'!$P18="","",IF('Estimate lines'!E18="","",'Estimate lines'!E18))</f>
        <v/>
      </c>
      <c r="F18" s="20" t="str">
        <f>IF('Estimate lines'!$P18="","",IF('Estimate lines'!F18="","",'Estimate lines'!F18))</f>
        <v/>
      </c>
      <c r="G18" s="15" t="str">
        <f>IF('Estimate lines'!$P18="","",IF('Estimate lines'!G18="","",'Estimate lines'!G18))</f>
        <v/>
      </c>
      <c r="H18" s="15" t="str">
        <f>IF('Estimate lines'!$P18="","",IF('Estimate lines'!H18="","",'Estimate lines'!H18))</f>
        <v/>
      </c>
      <c r="I18" s="11" t="str">
        <f>IF('Estimate lines'!$P18="","",IF('Estimate lines'!I18="","",'Estimate lines'!I18))</f>
        <v/>
      </c>
      <c r="J18" s="11" t="str">
        <f>IF('Estimate lines'!$P18="","",IF('Estimate lines'!J18="","",'Estimate lines'!J18))</f>
        <v/>
      </c>
      <c r="K18" s="16" t="str">
        <f>IF('Estimate lines'!$P18="","",IF('Estimate lines'!K18="","",'Estimate lines'!K18))</f>
        <v/>
      </c>
      <c r="L18" s="11" t="str">
        <f>IF('Estimate lines'!$P18="","",IF('Estimate lines'!L18="","",'Estimate lines'!L18))</f>
        <v/>
      </c>
      <c r="M18" s="11" t="str">
        <f>IF('Estimate lines'!$P18="","",IF('Estimate lines'!M18="","",'Estimate lines'!M18))</f>
        <v/>
      </c>
      <c r="N18" s="11" t="str">
        <f t="shared" si="0"/>
        <v/>
      </c>
      <c r="O18" s="11" t="str">
        <f t="shared" si="1"/>
        <v/>
      </c>
      <c r="P18" s="15" t="str">
        <f>IF(A18="","",'Estimate lines'!N18)</f>
        <v/>
      </c>
      <c r="Q18" s="15" t="str">
        <f>IF(A18="","",'Estimate lines'!O18)</f>
        <v/>
      </c>
    </row>
    <row r="19" spans="1:17" ht="25.05" customHeight="1">
      <c r="A19" s="11" t="str">
        <f>IF('Estimate lines'!$P19="","",IF('Estimate lines'!A19="","",'Estimate lines'!A19))</f>
        <v/>
      </c>
      <c r="B19" s="11" t="str">
        <f>IF('Estimate lines'!$P19="","",IF('Estimate lines'!B19="","",'Estimate lines'!B19))</f>
        <v/>
      </c>
      <c r="C19" s="11" t="str">
        <f>IF('Estimate lines'!$P19="","",IF('Estimate lines'!C19="","",'Estimate lines'!C19))</f>
        <v/>
      </c>
      <c r="D19" s="11" t="str">
        <f>IF('Estimate lines'!$P19="","",IF('Estimate lines'!D19="","",'Estimate lines'!D19))</f>
        <v/>
      </c>
      <c r="E19" s="12" t="str">
        <f>IF('Estimate lines'!$P19="","",IF('Estimate lines'!E19="","",'Estimate lines'!E19))</f>
        <v/>
      </c>
      <c r="F19" s="20" t="str">
        <f>IF('Estimate lines'!$P19="","",IF('Estimate lines'!F19="","",'Estimate lines'!F19))</f>
        <v/>
      </c>
      <c r="G19" s="15" t="str">
        <f>IF('Estimate lines'!$P19="","",IF('Estimate lines'!G19="","",'Estimate lines'!G19))</f>
        <v/>
      </c>
      <c r="H19" s="15" t="str">
        <f>IF('Estimate lines'!$P19="","",IF('Estimate lines'!H19="","",'Estimate lines'!H19))</f>
        <v/>
      </c>
      <c r="I19" s="11" t="str">
        <f>IF('Estimate lines'!$P19="","",IF('Estimate lines'!I19="","",'Estimate lines'!I19))</f>
        <v/>
      </c>
      <c r="J19" s="11" t="str">
        <f>IF('Estimate lines'!$P19="","",IF('Estimate lines'!J19="","",'Estimate lines'!J19))</f>
        <v/>
      </c>
      <c r="K19" s="16" t="str">
        <f>IF('Estimate lines'!$P19="","",IF('Estimate lines'!K19="","",'Estimate lines'!K19))</f>
        <v/>
      </c>
      <c r="L19" s="11" t="str">
        <f>IF('Estimate lines'!$P19="","",IF('Estimate lines'!L19="","",'Estimate lines'!L19))</f>
        <v/>
      </c>
      <c r="M19" s="11" t="str">
        <f>IF('Estimate lines'!$P19="","",IF('Estimate lines'!M19="","",'Estimate lines'!M19))</f>
        <v/>
      </c>
      <c r="N19" s="11" t="str">
        <f t="shared" si="0"/>
        <v/>
      </c>
      <c r="O19" s="11" t="str">
        <f t="shared" si="1"/>
        <v/>
      </c>
      <c r="P19" s="15" t="str">
        <f>IF(A19="","",'Estimate lines'!N19)</f>
        <v/>
      </c>
      <c r="Q19" s="15" t="str">
        <f>IF(A19="","",'Estimate lines'!O19)</f>
        <v/>
      </c>
    </row>
    <row r="20" spans="1:17" ht="25.05" customHeight="1">
      <c r="A20" s="11" t="str">
        <f>IF('Estimate lines'!$P20="","",IF('Estimate lines'!A20="","",'Estimate lines'!A20))</f>
        <v/>
      </c>
      <c r="B20" s="11" t="str">
        <f>IF('Estimate lines'!$P20="","",IF('Estimate lines'!B20="","",'Estimate lines'!B20))</f>
        <v/>
      </c>
      <c r="C20" s="11" t="str">
        <f>IF('Estimate lines'!$P20="","",IF('Estimate lines'!C20="","",'Estimate lines'!C20))</f>
        <v/>
      </c>
      <c r="D20" s="11" t="str">
        <f>IF('Estimate lines'!$P20="","",IF('Estimate lines'!D20="","",'Estimate lines'!D20))</f>
        <v/>
      </c>
      <c r="E20" s="12" t="str">
        <f>IF('Estimate lines'!$P20="","",IF('Estimate lines'!E20="","",'Estimate lines'!E20))</f>
        <v/>
      </c>
      <c r="F20" s="20" t="str">
        <f>IF('Estimate lines'!$P20="","",IF('Estimate lines'!F20="","",'Estimate lines'!F20))</f>
        <v/>
      </c>
      <c r="G20" s="15" t="str">
        <f>IF('Estimate lines'!$P20="","",IF('Estimate lines'!G20="","",'Estimate lines'!G20))</f>
        <v/>
      </c>
      <c r="H20" s="15" t="str">
        <f>IF('Estimate lines'!$P20="","",IF('Estimate lines'!H20="","",'Estimate lines'!H20))</f>
        <v/>
      </c>
      <c r="I20" s="11" t="str">
        <f>IF('Estimate lines'!$P20="","",IF('Estimate lines'!I20="","",'Estimate lines'!I20))</f>
        <v/>
      </c>
      <c r="J20" s="11" t="str">
        <f>IF('Estimate lines'!$P20="","",IF('Estimate lines'!J20="","",'Estimate lines'!J20))</f>
        <v/>
      </c>
      <c r="K20" s="16" t="str">
        <f>IF('Estimate lines'!$P20="","",IF('Estimate lines'!K20="","",'Estimate lines'!K20))</f>
        <v/>
      </c>
      <c r="L20" s="11" t="str">
        <f>IF('Estimate lines'!$P20="","",IF('Estimate lines'!L20="","",'Estimate lines'!L20))</f>
        <v/>
      </c>
      <c r="M20" s="11" t="str">
        <f>IF('Estimate lines'!$P20="","",IF('Estimate lines'!M20="","",'Estimate lines'!M20))</f>
        <v/>
      </c>
      <c r="N20" s="11" t="str">
        <f t="shared" si="0"/>
        <v/>
      </c>
      <c r="O20" s="11" t="str">
        <f t="shared" si="1"/>
        <v/>
      </c>
      <c r="P20" s="15" t="str">
        <f>IF(A20="","",'Estimate lines'!N20)</f>
        <v/>
      </c>
      <c r="Q20" s="15" t="str">
        <f>IF(A20="","",'Estimate lines'!O20)</f>
        <v/>
      </c>
    </row>
    <row r="21" spans="1:17" ht="25.05" customHeight="1">
      <c r="A21" s="11" t="str">
        <f>IF('Estimate lines'!$P21="","",IF('Estimate lines'!A21="","",'Estimate lines'!A21))</f>
        <v/>
      </c>
      <c r="B21" s="11" t="str">
        <f>IF('Estimate lines'!$P21="","",IF('Estimate lines'!B21="","",'Estimate lines'!B21))</f>
        <v/>
      </c>
      <c r="C21" s="11" t="str">
        <f>IF('Estimate lines'!$P21="","",IF('Estimate lines'!C21="","",'Estimate lines'!C21))</f>
        <v/>
      </c>
      <c r="D21" s="11" t="str">
        <f>IF('Estimate lines'!$P21="","",IF('Estimate lines'!D21="","",'Estimate lines'!D21))</f>
        <v/>
      </c>
      <c r="E21" s="12" t="str">
        <f>IF('Estimate lines'!$P21="","",IF('Estimate lines'!E21="","",'Estimate lines'!E21))</f>
        <v/>
      </c>
      <c r="F21" s="20" t="str">
        <f>IF('Estimate lines'!$P21="","",IF('Estimate lines'!F21="","",'Estimate lines'!F21))</f>
        <v/>
      </c>
      <c r="G21" s="15" t="str">
        <f>IF('Estimate lines'!$P21="","",IF('Estimate lines'!G21="","",'Estimate lines'!G21))</f>
        <v/>
      </c>
      <c r="H21" s="15" t="str">
        <f>IF('Estimate lines'!$P21="","",IF('Estimate lines'!H21="","",'Estimate lines'!H21))</f>
        <v/>
      </c>
      <c r="I21" s="11" t="str">
        <f>IF('Estimate lines'!$P21="","",IF('Estimate lines'!I21="","",'Estimate lines'!I21))</f>
        <v/>
      </c>
      <c r="J21" s="11" t="str">
        <f>IF('Estimate lines'!$P21="","",IF('Estimate lines'!J21="","",'Estimate lines'!J21))</f>
        <v/>
      </c>
      <c r="K21" s="16" t="str">
        <f>IF('Estimate lines'!$P21="","",IF('Estimate lines'!K21="","",'Estimate lines'!K21))</f>
        <v/>
      </c>
      <c r="L21" s="11" t="str">
        <f>IF('Estimate lines'!$P21="","",IF('Estimate lines'!L21="","",'Estimate lines'!L21))</f>
        <v/>
      </c>
      <c r="M21" s="11" t="str">
        <f>IF('Estimate lines'!$P21="","",IF('Estimate lines'!M21="","",'Estimate lines'!M21))</f>
        <v/>
      </c>
      <c r="N21" s="11" t="str">
        <f t="shared" si="0"/>
        <v/>
      </c>
      <c r="O21" s="11" t="str">
        <f t="shared" si="1"/>
        <v/>
      </c>
      <c r="P21" s="15" t="str">
        <f>IF(A21="","",'Estimate lines'!N21)</f>
        <v/>
      </c>
      <c r="Q21" s="15" t="str">
        <f>IF(A21="","",'Estimate lines'!O21)</f>
        <v/>
      </c>
    </row>
    <row r="22" spans="1:17" ht="25.05" customHeight="1">
      <c r="A22" s="11" t="str">
        <f>IF('Estimate lines'!$P22="","",IF('Estimate lines'!A22="","",'Estimate lines'!A22))</f>
        <v/>
      </c>
      <c r="B22" s="11" t="str">
        <f>IF('Estimate lines'!$P22="","",IF('Estimate lines'!B22="","",'Estimate lines'!B22))</f>
        <v/>
      </c>
      <c r="C22" s="11" t="str">
        <f>IF('Estimate lines'!$P22="","",IF('Estimate lines'!C22="","",'Estimate lines'!C22))</f>
        <v/>
      </c>
      <c r="D22" s="11" t="str">
        <f>IF('Estimate lines'!$P22="","",IF('Estimate lines'!D22="","",'Estimate lines'!D22))</f>
        <v/>
      </c>
      <c r="E22" s="12" t="str">
        <f>IF('Estimate lines'!$P22="","",IF('Estimate lines'!E22="","",'Estimate lines'!E22))</f>
        <v/>
      </c>
      <c r="F22" s="20" t="str">
        <f>IF('Estimate lines'!$P22="","",IF('Estimate lines'!F22="","",'Estimate lines'!F22))</f>
        <v/>
      </c>
      <c r="G22" s="15" t="str">
        <f>IF('Estimate lines'!$P22="","",IF('Estimate lines'!G22="","",'Estimate lines'!G22))</f>
        <v/>
      </c>
      <c r="H22" s="15" t="str">
        <f>IF('Estimate lines'!$P22="","",IF('Estimate lines'!H22="","",'Estimate lines'!H22))</f>
        <v/>
      </c>
      <c r="I22" s="11" t="str">
        <f>IF('Estimate lines'!$P22="","",IF('Estimate lines'!I22="","",'Estimate lines'!I22))</f>
        <v/>
      </c>
      <c r="J22" s="11" t="str">
        <f>IF('Estimate lines'!$P22="","",IF('Estimate lines'!J22="","",'Estimate lines'!J22))</f>
        <v/>
      </c>
      <c r="K22" s="16" t="str">
        <f>IF('Estimate lines'!$P22="","",IF('Estimate lines'!K22="","",'Estimate lines'!K22))</f>
        <v/>
      </c>
      <c r="L22" s="11" t="str">
        <f>IF('Estimate lines'!$P22="","",IF('Estimate lines'!L22="","",'Estimate lines'!L22))</f>
        <v/>
      </c>
      <c r="M22" s="11" t="str">
        <f>IF('Estimate lines'!$P22="","",IF('Estimate lines'!M22="","",'Estimate lines'!M22))</f>
        <v/>
      </c>
      <c r="N22" s="11" t="str">
        <f t="shared" si="0"/>
        <v/>
      </c>
      <c r="O22" s="11" t="str">
        <f t="shared" si="1"/>
        <v/>
      </c>
      <c r="P22" s="15" t="str">
        <f>IF(A22="","",'Estimate lines'!N22)</f>
        <v/>
      </c>
      <c r="Q22" s="15" t="str">
        <f>IF(A22="","",'Estimate lines'!O22)</f>
        <v/>
      </c>
    </row>
    <row r="23" spans="1:17" ht="25.05" customHeight="1">
      <c r="A23" s="11" t="str">
        <f>IF('Estimate lines'!$P23="","",IF('Estimate lines'!A23="","",'Estimate lines'!A23))</f>
        <v/>
      </c>
      <c r="B23" s="11" t="str">
        <f>IF('Estimate lines'!$P23="","",IF('Estimate lines'!B23="","",'Estimate lines'!B23))</f>
        <v/>
      </c>
      <c r="C23" s="11" t="str">
        <f>IF('Estimate lines'!$P23="","",IF('Estimate lines'!C23="","",'Estimate lines'!C23))</f>
        <v/>
      </c>
      <c r="D23" s="11" t="str">
        <f>IF('Estimate lines'!$P23="","",IF('Estimate lines'!D23="","",'Estimate lines'!D23))</f>
        <v/>
      </c>
      <c r="E23" s="12" t="str">
        <f>IF('Estimate lines'!$P23="","",IF('Estimate lines'!E23="","",'Estimate lines'!E23))</f>
        <v/>
      </c>
      <c r="F23" s="20" t="str">
        <f>IF('Estimate lines'!$P23="","",IF('Estimate lines'!F23="","",'Estimate lines'!F23))</f>
        <v/>
      </c>
      <c r="G23" s="15" t="str">
        <f>IF('Estimate lines'!$P23="","",IF('Estimate lines'!G23="","",'Estimate lines'!G23))</f>
        <v/>
      </c>
      <c r="H23" s="15" t="str">
        <f>IF('Estimate lines'!$P23="","",IF('Estimate lines'!H23="","",'Estimate lines'!H23))</f>
        <v/>
      </c>
      <c r="I23" s="11" t="str">
        <f>IF('Estimate lines'!$P23="","",IF('Estimate lines'!I23="","",'Estimate lines'!I23))</f>
        <v/>
      </c>
      <c r="J23" s="11" t="str">
        <f>IF('Estimate lines'!$P23="","",IF('Estimate lines'!J23="","",'Estimate lines'!J23))</f>
        <v/>
      </c>
      <c r="K23" s="16" t="str">
        <f>IF('Estimate lines'!$P23="","",IF('Estimate lines'!K23="","",'Estimate lines'!K23))</f>
        <v/>
      </c>
      <c r="L23" s="11" t="str">
        <f>IF('Estimate lines'!$P23="","",IF('Estimate lines'!L23="","",'Estimate lines'!L23))</f>
        <v/>
      </c>
      <c r="M23" s="11" t="str">
        <f>IF('Estimate lines'!$P23="","",IF('Estimate lines'!M23="","",'Estimate lines'!M23))</f>
        <v/>
      </c>
      <c r="N23" s="11" t="str">
        <f t="shared" si="0"/>
        <v/>
      </c>
      <c r="O23" s="11" t="str">
        <f t="shared" si="1"/>
        <v/>
      </c>
      <c r="P23" s="15" t="str">
        <f>IF(A23="","",'Estimate lines'!N23)</f>
        <v/>
      </c>
      <c r="Q23" s="15" t="str">
        <f>IF(A23="","",'Estimate lines'!O23)</f>
        <v/>
      </c>
    </row>
    <row r="24" spans="1:17" ht="25.05" customHeight="1">
      <c r="A24" s="11" t="str">
        <f>IF('Estimate lines'!$P24="","",IF('Estimate lines'!A24="","",'Estimate lines'!A24))</f>
        <v/>
      </c>
      <c r="B24" s="11" t="str">
        <f>IF('Estimate lines'!$P24="","",IF('Estimate lines'!B24="","",'Estimate lines'!B24))</f>
        <v/>
      </c>
      <c r="C24" s="11" t="str">
        <f>IF('Estimate lines'!$P24="","",IF('Estimate lines'!C24="","",'Estimate lines'!C24))</f>
        <v/>
      </c>
      <c r="D24" s="11" t="str">
        <f>IF('Estimate lines'!$P24="","",IF('Estimate lines'!D24="","",'Estimate lines'!D24))</f>
        <v/>
      </c>
      <c r="E24" s="12" t="str">
        <f>IF('Estimate lines'!$P24="","",IF('Estimate lines'!E24="","",'Estimate lines'!E24))</f>
        <v/>
      </c>
      <c r="F24" s="20" t="str">
        <f>IF('Estimate lines'!$P24="","",IF('Estimate lines'!F24="","",'Estimate lines'!F24))</f>
        <v/>
      </c>
      <c r="G24" s="15" t="str">
        <f>IF('Estimate lines'!$P24="","",IF('Estimate lines'!G24="","",'Estimate lines'!G24))</f>
        <v/>
      </c>
      <c r="H24" s="15" t="str">
        <f>IF('Estimate lines'!$P24="","",IF('Estimate lines'!H24="","",'Estimate lines'!H24))</f>
        <v/>
      </c>
      <c r="I24" s="11" t="str">
        <f>IF('Estimate lines'!$P24="","",IF('Estimate lines'!I24="","",'Estimate lines'!I24))</f>
        <v/>
      </c>
      <c r="J24" s="11" t="str">
        <f>IF('Estimate lines'!$P24="","",IF('Estimate lines'!J24="","",'Estimate lines'!J24))</f>
        <v/>
      </c>
      <c r="K24" s="16" t="str">
        <f>IF('Estimate lines'!$P24="","",IF('Estimate lines'!K24="","",'Estimate lines'!K24))</f>
        <v/>
      </c>
      <c r="L24" s="11" t="str">
        <f>IF('Estimate lines'!$P24="","",IF('Estimate lines'!L24="","",'Estimate lines'!L24))</f>
        <v/>
      </c>
      <c r="M24" s="11" t="str">
        <f>IF('Estimate lines'!$P24="","",IF('Estimate lines'!M24="","",'Estimate lines'!M24))</f>
        <v/>
      </c>
      <c r="N24" s="11" t="str">
        <f t="shared" si="0"/>
        <v/>
      </c>
      <c r="O24" s="11" t="str">
        <f t="shared" si="1"/>
        <v/>
      </c>
      <c r="P24" s="15" t="str">
        <f>IF(A24="","",'Estimate lines'!N24)</f>
        <v/>
      </c>
      <c r="Q24" s="15" t="str">
        <f>IF(A24="","",'Estimate lines'!O24)</f>
        <v/>
      </c>
    </row>
    <row r="25" spans="1:17" ht="25.05" customHeight="1">
      <c r="A25" s="11" t="str">
        <f>IF('Estimate lines'!$P25="","",IF('Estimate lines'!A25="","",'Estimate lines'!A25))</f>
        <v/>
      </c>
      <c r="B25" s="11" t="str">
        <f>IF('Estimate lines'!$P25="","",IF('Estimate lines'!B25="","",'Estimate lines'!B25))</f>
        <v/>
      </c>
      <c r="C25" s="11" t="str">
        <f>IF('Estimate lines'!$P25="","",IF('Estimate lines'!C25="","",'Estimate lines'!C25))</f>
        <v/>
      </c>
      <c r="D25" s="11" t="str">
        <f>IF('Estimate lines'!$P25="","",IF('Estimate lines'!D25="","",'Estimate lines'!D25))</f>
        <v/>
      </c>
      <c r="E25" s="12" t="str">
        <f>IF('Estimate lines'!$P25="","",IF('Estimate lines'!E25="","",'Estimate lines'!E25))</f>
        <v/>
      </c>
      <c r="F25" s="20" t="str">
        <f>IF('Estimate lines'!$P25="","",IF('Estimate lines'!F25="","",'Estimate lines'!F25))</f>
        <v/>
      </c>
      <c r="G25" s="15" t="str">
        <f>IF('Estimate lines'!$P25="","",IF('Estimate lines'!G25="","",'Estimate lines'!G25))</f>
        <v/>
      </c>
      <c r="H25" s="15" t="str">
        <f>IF('Estimate lines'!$P25="","",IF('Estimate lines'!H25="","",'Estimate lines'!H25))</f>
        <v/>
      </c>
      <c r="I25" s="11" t="str">
        <f>IF('Estimate lines'!$P25="","",IF('Estimate lines'!I25="","",'Estimate lines'!I25))</f>
        <v/>
      </c>
      <c r="J25" s="11" t="str">
        <f>IF('Estimate lines'!$P25="","",IF('Estimate lines'!J25="","",'Estimate lines'!J25))</f>
        <v/>
      </c>
      <c r="K25" s="16" t="str">
        <f>IF('Estimate lines'!$P25="","",IF('Estimate lines'!K25="","",'Estimate lines'!K25))</f>
        <v/>
      </c>
      <c r="L25" s="11" t="str">
        <f>IF('Estimate lines'!$P25="","",IF('Estimate lines'!L25="","",'Estimate lines'!L25))</f>
        <v/>
      </c>
      <c r="M25" s="11" t="str">
        <f>IF('Estimate lines'!$P25="","",IF('Estimate lines'!M25="","",'Estimate lines'!M25))</f>
        <v/>
      </c>
      <c r="N25" s="11" t="str">
        <f t="shared" si="0"/>
        <v/>
      </c>
      <c r="O25" s="11" t="str">
        <f t="shared" si="1"/>
        <v/>
      </c>
      <c r="P25" s="15" t="str">
        <f>IF(A25="","",'Estimate lines'!N25)</f>
        <v/>
      </c>
      <c r="Q25" s="15" t="str">
        <f>IF(A25="","",'Estimate lines'!O25)</f>
        <v/>
      </c>
    </row>
    <row r="26" spans="1:17" ht="25.05" customHeight="1">
      <c r="A26" s="11" t="str">
        <f>IF('Estimate lines'!$P26="","",IF('Estimate lines'!A26="","",'Estimate lines'!A26))</f>
        <v/>
      </c>
      <c r="B26" s="11" t="str">
        <f>IF('Estimate lines'!$P26="","",IF('Estimate lines'!B26="","",'Estimate lines'!B26))</f>
        <v/>
      </c>
      <c r="C26" s="11" t="str">
        <f>IF('Estimate lines'!$P26="","",IF('Estimate lines'!C26="","",'Estimate lines'!C26))</f>
        <v/>
      </c>
      <c r="D26" s="11" t="str">
        <f>IF('Estimate lines'!$P26="","",IF('Estimate lines'!D26="","",'Estimate lines'!D26))</f>
        <v/>
      </c>
      <c r="E26" s="12" t="str">
        <f>IF('Estimate lines'!$P26="","",IF('Estimate lines'!E26="","",'Estimate lines'!E26))</f>
        <v/>
      </c>
      <c r="F26" s="20" t="str">
        <f>IF('Estimate lines'!$P26="","",IF('Estimate lines'!F26="","",'Estimate lines'!F26))</f>
        <v/>
      </c>
      <c r="G26" s="15" t="str">
        <f>IF('Estimate lines'!$P26="","",IF('Estimate lines'!G26="","",'Estimate lines'!G26))</f>
        <v/>
      </c>
      <c r="H26" s="15" t="str">
        <f>IF('Estimate lines'!$P26="","",IF('Estimate lines'!H26="","",'Estimate lines'!H26))</f>
        <v/>
      </c>
      <c r="I26" s="11" t="str">
        <f>IF('Estimate lines'!$P26="","",IF('Estimate lines'!I26="","",'Estimate lines'!I26))</f>
        <v/>
      </c>
      <c r="J26" s="11" t="str">
        <f>IF('Estimate lines'!$P26="","",IF('Estimate lines'!J26="","",'Estimate lines'!J26))</f>
        <v/>
      </c>
      <c r="K26" s="16" t="str">
        <f>IF('Estimate lines'!$P26="","",IF('Estimate lines'!K26="","",'Estimate lines'!K26))</f>
        <v/>
      </c>
      <c r="L26" s="11" t="str">
        <f>IF('Estimate lines'!$P26="","",IF('Estimate lines'!L26="","",'Estimate lines'!L26))</f>
        <v/>
      </c>
      <c r="M26" s="11" t="str">
        <f>IF('Estimate lines'!$P26="","",IF('Estimate lines'!M26="","",'Estimate lines'!M26))</f>
        <v/>
      </c>
      <c r="N26" s="11" t="str">
        <f t="shared" si="0"/>
        <v/>
      </c>
      <c r="O26" s="11" t="str">
        <f t="shared" si="1"/>
        <v/>
      </c>
      <c r="P26" s="15" t="str">
        <f>IF(A26="","",'Estimate lines'!N26)</f>
        <v/>
      </c>
      <c r="Q26" s="15" t="str">
        <f>IF(A26="","",'Estimate lines'!O26)</f>
        <v/>
      </c>
    </row>
    <row r="27" spans="1:17" ht="25.05" customHeight="1">
      <c r="A27" s="11" t="str">
        <f>IF('Estimate lines'!$P27="","",IF('Estimate lines'!A27="","",'Estimate lines'!A27))</f>
        <v/>
      </c>
      <c r="B27" s="11" t="str">
        <f>IF('Estimate lines'!$P27="","",IF('Estimate lines'!B27="","",'Estimate lines'!B27))</f>
        <v/>
      </c>
      <c r="C27" s="11" t="str">
        <f>IF('Estimate lines'!$P27="","",IF('Estimate lines'!C27="","",'Estimate lines'!C27))</f>
        <v/>
      </c>
      <c r="D27" s="11" t="str">
        <f>IF('Estimate lines'!$P27="","",IF('Estimate lines'!D27="","",'Estimate lines'!D27))</f>
        <v/>
      </c>
      <c r="E27" s="12" t="str">
        <f>IF('Estimate lines'!$P27="","",IF('Estimate lines'!E27="","",'Estimate lines'!E27))</f>
        <v/>
      </c>
      <c r="F27" s="20" t="str">
        <f>IF('Estimate lines'!$P27="","",IF('Estimate lines'!F27="","",'Estimate lines'!F27))</f>
        <v/>
      </c>
      <c r="G27" s="15" t="str">
        <f>IF('Estimate lines'!$P27="","",IF('Estimate lines'!G27="","",'Estimate lines'!G27))</f>
        <v/>
      </c>
      <c r="H27" s="15" t="str">
        <f>IF('Estimate lines'!$P27="","",IF('Estimate lines'!H27="","",'Estimate lines'!H27))</f>
        <v/>
      </c>
      <c r="I27" s="11" t="str">
        <f>IF('Estimate lines'!$P27="","",IF('Estimate lines'!I27="","",'Estimate lines'!I27))</f>
        <v/>
      </c>
      <c r="J27" s="11" t="str">
        <f>IF('Estimate lines'!$P27="","",IF('Estimate lines'!J27="","",'Estimate lines'!J27))</f>
        <v/>
      </c>
      <c r="K27" s="16" t="str">
        <f>IF('Estimate lines'!$P27="","",IF('Estimate lines'!K27="","",'Estimate lines'!K27))</f>
        <v/>
      </c>
      <c r="L27" s="11" t="str">
        <f>IF('Estimate lines'!$P27="","",IF('Estimate lines'!L27="","",'Estimate lines'!L27))</f>
        <v/>
      </c>
      <c r="M27" s="11" t="str">
        <f>IF('Estimate lines'!$P27="","",IF('Estimate lines'!M27="","",'Estimate lines'!M27))</f>
        <v/>
      </c>
      <c r="N27" s="11" t="str">
        <f t="shared" si="0"/>
        <v/>
      </c>
      <c r="O27" s="11" t="str">
        <f t="shared" si="1"/>
        <v/>
      </c>
      <c r="P27" s="15" t="str">
        <f>IF(A27="","",'Estimate lines'!N27)</f>
        <v/>
      </c>
      <c r="Q27" s="15" t="str">
        <f>IF(A27="","",'Estimate lines'!O27)</f>
        <v/>
      </c>
    </row>
    <row r="28" spans="1:17" ht="25.05" customHeight="1">
      <c r="A28" s="11" t="str">
        <f>IF('Estimate lines'!$P28="","",IF('Estimate lines'!A28="","",'Estimate lines'!A28))</f>
        <v/>
      </c>
      <c r="B28" s="11" t="str">
        <f>IF('Estimate lines'!$P28="","",IF('Estimate lines'!B28="","",'Estimate lines'!B28))</f>
        <v/>
      </c>
      <c r="C28" s="11" t="str">
        <f>IF('Estimate lines'!$P28="","",IF('Estimate lines'!C28="","",'Estimate lines'!C28))</f>
        <v/>
      </c>
      <c r="D28" s="11" t="str">
        <f>IF('Estimate lines'!$P28="","",IF('Estimate lines'!D28="","",'Estimate lines'!D28))</f>
        <v/>
      </c>
      <c r="E28" s="12" t="str">
        <f>IF('Estimate lines'!$P28="","",IF('Estimate lines'!E28="","",'Estimate lines'!E28))</f>
        <v/>
      </c>
      <c r="F28" s="20" t="str">
        <f>IF('Estimate lines'!$P28="","",IF('Estimate lines'!F28="","",'Estimate lines'!F28))</f>
        <v/>
      </c>
      <c r="G28" s="15" t="str">
        <f>IF('Estimate lines'!$P28="","",IF('Estimate lines'!G28="","",'Estimate lines'!G28))</f>
        <v/>
      </c>
      <c r="H28" s="15" t="str">
        <f>IF('Estimate lines'!$P28="","",IF('Estimate lines'!H28="","",'Estimate lines'!H28))</f>
        <v/>
      </c>
      <c r="I28" s="11" t="str">
        <f>IF('Estimate lines'!$P28="","",IF('Estimate lines'!I28="","",'Estimate lines'!I28))</f>
        <v/>
      </c>
      <c r="J28" s="11" t="str">
        <f>IF('Estimate lines'!$P28="","",IF('Estimate lines'!J28="","",'Estimate lines'!J28))</f>
        <v/>
      </c>
      <c r="K28" s="16" t="str">
        <f>IF('Estimate lines'!$P28="","",IF('Estimate lines'!K28="","",'Estimate lines'!K28))</f>
        <v/>
      </c>
      <c r="L28" s="11" t="str">
        <f>IF('Estimate lines'!$P28="","",IF('Estimate lines'!L28="","",'Estimate lines'!L28))</f>
        <v/>
      </c>
      <c r="M28" s="11" t="str">
        <f>IF('Estimate lines'!$P28="","",IF('Estimate lines'!M28="","",'Estimate lines'!M28))</f>
        <v/>
      </c>
      <c r="N28" s="11" t="str">
        <f t="shared" si="0"/>
        <v/>
      </c>
      <c r="O28" s="11" t="str">
        <f t="shared" si="1"/>
        <v/>
      </c>
      <c r="P28" s="15" t="str">
        <f>IF(A28="","",'Estimate lines'!N28)</f>
        <v/>
      </c>
      <c r="Q28" s="15" t="str">
        <f>IF(A28="","",'Estimate lines'!O28)</f>
        <v/>
      </c>
    </row>
    <row r="29" spans="1:17" ht="25.05" customHeight="1">
      <c r="A29" s="11" t="str">
        <f>IF('Estimate lines'!$P29="","",IF('Estimate lines'!A29="","",'Estimate lines'!A29))</f>
        <v/>
      </c>
      <c r="B29" s="11" t="str">
        <f>IF('Estimate lines'!$P29="","",IF('Estimate lines'!B29="","",'Estimate lines'!B29))</f>
        <v/>
      </c>
      <c r="C29" s="11" t="str">
        <f>IF('Estimate lines'!$P29="","",IF('Estimate lines'!C29="","",'Estimate lines'!C29))</f>
        <v/>
      </c>
      <c r="D29" s="11" t="str">
        <f>IF('Estimate lines'!$P29="","",IF('Estimate lines'!D29="","",'Estimate lines'!D29))</f>
        <v/>
      </c>
      <c r="E29" s="12" t="str">
        <f>IF('Estimate lines'!$P29="","",IF('Estimate lines'!E29="","",'Estimate lines'!E29))</f>
        <v/>
      </c>
      <c r="F29" s="20" t="str">
        <f>IF('Estimate lines'!$P29="","",IF('Estimate lines'!F29="","",'Estimate lines'!F29))</f>
        <v/>
      </c>
      <c r="G29" s="15" t="str">
        <f>IF('Estimate lines'!$P29="","",IF('Estimate lines'!G29="","",'Estimate lines'!G29))</f>
        <v/>
      </c>
      <c r="H29" s="15" t="str">
        <f>IF('Estimate lines'!$P29="","",IF('Estimate lines'!H29="","",'Estimate lines'!H29))</f>
        <v/>
      </c>
      <c r="I29" s="11" t="str">
        <f>IF('Estimate lines'!$P29="","",IF('Estimate lines'!I29="","",'Estimate lines'!I29))</f>
        <v/>
      </c>
      <c r="J29" s="11" t="str">
        <f>IF('Estimate lines'!$P29="","",IF('Estimate lines'!J29="","",'Estimate lines'!J29))</f>
        <v/>
      </c>
      <c r="K29" s="16" t="str">
        <f>IF('Estimate lines'!$P29="","",IF('Estimate lines'!K29="","",'Estimate lines'!K29))</f>
        <v/>
      </c>
      <c r="L29" s="11" t="str">
        <f>IF('Estimate lines'!$P29="","",IF('Estimate lines'!L29="","",'Estimate lines'!L29))</f>
        <v/>
      </c>
      <c r="M29" s="11" t="str">
        <f>IF('Estimate lines'!$P29="","",IF('Estimate lines'!M29="","",'Estimate lines'!M29))</f>
        <v/>
      </c>
      <c r="N29" s="11" t="str">
        <f t="shared" si="0"/>
        <v/>
      </c>
      <c r="O29" s="11" t="str">
        <f t="shared" si="1"/>
        <v/>
      </c>
      <c r="P29" s="15" t="str">
        <f>IF(A29="","",'Estimate lines'!N29)</f>
        <v/>
      </c>
      <c r="Q29" s="15" t="str">
        <f>IF(A29="","",'Estimate lines'!O29)</f>
        <v/>
      </c>
    </row>
    <row r="30" spans="1:17" ht="25.05" customHeight="1">
      <c r="A30" s="11" t="str">
        <f>IF('Estimate lines'!$P30="","",IF('Estimate lines'!A30="","",'Estimate lines'!A30))</f>
        <v/>
      </c>
      <c r="B30" s="11" t="str">
        <f>IF('Estimate lines'!$P30="","",IF('Estimate lines'!B30="","",'Estimate lines'!B30))</f>
        <v/>
      </c>
      <c r="C30" s="11" t="str">
        <f>IF('Estimate lines'!$P30="","",IF('Estimate lines'!C30="","",'Estimate lines'!C30))</f>
        <v/>
      </c>
      <c r="D30" s="11" t="str">
        <f>IF('Estimate lines'!$P30="","",IF('Estimate lines'!D30="","",'Estimate lines'!D30))</f>
        <v/>
      </c>
      <c r="E30" s="12" t="str">
        <f>IF('Estimate lines'!$P30="","",IF('Estimate lines'!E30="","",'Estimate lines'!E30))</f>
        <v/>
      </c>
      <c r="F30" s="20" t="str">
        <f>IF('Estimate lines'!$P30="","",IF('Estimate lines'!F30="","",'Estimate lines'!F30))</f>
        <v/>
      </c>
      <c r="G30" s="15" t="str">
        <f>IF('Estimate lines'!$P30="","",IF('Estimate lines'!G30="","",'Estimate lines'!G30))</f>
        <v/>
      </c>
      <c r="H30" s="15" t="str">
        <f>IF('Estimate lines'!$P30="","",IF('Estimate lines'!H30="","",'Estimate lines'!H30))</f>
        <v/>
      </c>
      <c r="I30" s="11" t="str">
        <f>IF('Estimate lines'!$P30="","",IF('Estimate lines'!I30="","",'Estimate lines'!I30))</f>
        <v/>
      </c>
      <c r="J30" s="11" t="str">
        <f>IF('Estimate lines'!$P30="","",IF('Estimate lines'!J30="","",'Estimate lines'!J30))</f>
        <v/>
      </c>
      <c r="K30" s="16" t="str">
        <f>IF('Estimate lines'!$P30="","",IF('Estimate lines'!K30="","",'Estimate lines'!K30))</f>
        <v/>
      </c>
      <c r="L30" s="11" t="str">
        <f>IF('Estimate lines'!$P30="","",IF('Estimate lines'!L30="","",'Estimate lines'!L30))</f>
        <v/>
      </c>
      <c r="M30" s="11" t="str">
        <f>IF('Estimate lines'!$P30="","",IF('Estimate lines'!M30="","",'Estimate lines'!M30))</f>
        <v/>
      </c>
      <c r="N30" s="11" t="str">
        <f t="shared" si="0"/>
        <v/>
      </c>
      <c r="O30" s="11" t="str">
        <f t="shared" si="1"/>
        <v/>
      </c>
      <c r="P30" s="15" t="str">
        <f>IF(A30="","",'Estimate lines'!N30)</f>
        <v/>
      </c>
      <c r="Q30" s="15" t="str">
        <f>IF(A30="","",'Estimate lines'!O30)</f>
        <v/>
      </c>
    </row>
    <row r="31" spans="1:17" ht="25.05" customHeight="1">
      <c r="A31" s="11" t="str">
        <f>IF('Estimate lines'!$P31="","",IF('Estimate lines'!A31="","",'Estimate lines'!A31))</f>
        <v/>
      </c>
      <c r="B31" s="11" t="str">
        <f>IF('Estimate lines'!$P31="","",IF('Estimate lines'!B31="","",'Estimate lines'!B31))</f>
        <v/>
      </c>
      <c r="C31" s="11" t="str">
        <f>IF('Estimate lines'!$P31="","",IF('Estimate lines'!C31="","",'Estimate lines'!C31))</f>
        <v/>
      </c>
      <c r="D31" s="11" t="str">
        <f>IF('Estimate lines'!$P31="","",IF('Estimate lines'!D31="","",'Estimate lines'!D31))</f>
        <v/>
      </c>
      <c r="E31" s="12" t="str">
        <f>IF('Estimate lines'!$P31="","",IF('Estimate lines'!E31="","",'Estimate lines'!E31))</f>
        <v/>
      </c>
      <c r="F31" s="20" t="str">
        <f>IF('Estimate lines'!$P31="","",IF('Estimate lines'!F31="","",'Estimate lines'!F31))</f>
        <v/>
      </c>
      <c r="G31" s="15" t="str">
        <f>IF('Estimate lines'!$P31="","",IF('Estimate lines'!G31="","",'Estimate lines'!G31))</f>
        <v/>
      </c>
      <c r="H31" s="15" t="str">
        <f>IF('Estimate lines'!$P31="","",IF('Estimate lines'!H31="","",'Estimate lines'!H31))</f>
        <v/>
      </c>
      <c r="I31" s="11" t="str">
        <f>IF('Estimate lines'!$P31="","",IF('Estimate lines'!I31="","",'Estimate lines'!I31))</f>
        <v/>
      </c>
      <c r="J31" s="11" t="str">
        <f>IF('Estimate lines'!$P31="","",IF('Estimate lines'!J31="","",'Estimate lines'!J31))</f>
        <v/>
      </c>
      <c r="K31" s="16" t="str">
        <f>IF('Estimate lines'!$P31="","",IF('Estimate lines'!K31="","",'Estimate lines'!K31))</f>
        <v/>
      </c>
      <c r="L31" s="11" t="str">
        <f>IF('Estimate lines'!$P31="","",IF('Estimate lines'!L31="","",'Estimate lines'!L31))</f>
        <v/>
      </c>
      <c r="M31" s="11" t="str">
        <f>IF('Estimate lines'!$P31="","",IF('Estimate lines'!M31="","",'Estimate lines'!M31))</f>
        <v/>
      </c>
      <c r="N31" s="11" t="str">
        <f t="shared" si="0"/>
        <v/>
      </c>
      <c r="O31" s="11" t="str">
        <f t="shared" si="1"/>
        <v/>
      </c>
      <c r="P31" s="15" t="str">
        <f>IF(A31="","",'Estimate lines'!N31)</f>
        <v/>
      </c>
      <c r="Q31" s="15" t="str">
        <f>IF(A31="","",'Estimate lines'!O31)</f>
        <v/>
      </c>
    </row>
    <row r="32" spans="1:17" ht="25.05" customHeight="1">
      <c r="A32" s="11" t="str">
        <f>IF('Estimate lines'!$P32="","",IF('Estimate lines'!A32="","",'Estimate lines'!A32))</f>
        <v/>
      </c>
      <c r="B32" s="11" t="str">
        <f>IF('Estimate lines'!$P32="","",IF('Estimate lines'!B32="","",'Estimate lines'!B32))</f>
        <v/>
      </c>
      <c r="C32" s="11" t="str">
        <f>IF('Estimate lines'!$P32="","",IF('Estimate lines'!C32="","",'Estimate lines'!C32))</f>
        <v/>
      </c>
      <c r="D32" s="11" t="str">
        <f>IF('Estimate lines'!$P32="","",IF('Estimate lines'!D32="","",'Estimate lines'!D32))</f>
        <v/>
      </c>
      <c r="E32" s="12" t="str">
        <f>IF('Estimate lines'!$P32="","",IF('Estimate lines'!E32="","",'Estimate lines'!E32))</f>
        <v/>
      </c>
      <c r="F32" s="20" t="str">
        <f>IF('Estimate lines'!$P32="","",IF('Estimate lines'!F32="","",'Estimate lines'!F32))</f>
        <v/>
      </c>
      <c r="G32" s="15" t="str">
        <f>IF('Estimate lines'!$P32="","",IF('Estimate lines'!G32="","",'Estimate lines'!G32))</f>
        <v/>
      </c>
      <c r="H32" s="15" t="str">
        <f>IF('Estimate lines'!$P32="","",IF('Estimate lines'!H32="","",'Estimate lines'!H32))</f>
        <v/>
      </c>
      <c r="I32" s="11" t="str">
        <f>IF('Estimate lines'!$P32="","",IF('Estimate lines'!I32="","",'Estimate lines'!I32))</f>
        <v/>
      </c>
      <c r="J32" s="11" t="str">
        <f>IF('Estimate lines'!$P32="","",IF('Estimate lines'!J32="","",'Estimate lines'!J32))</f>
        <v/>
      </c>
      <c r="K32" s="16" t="str">
        <f>IF('Estimate lines'!$P32="","",IF('Estimate lines'!K32="","",'Estimate lines'!K32))</f>
        <v/>
      </c>
      <c r="L32" s="11" t="str">
        <f>IF('Estimate lines'!$P32="","",IF('Estimate lines'!L32="","",'Estimate lines'!L32))</f>
        <v/>
      </c>
      <c r="M32" s="11" t="str">
        <f>IF('Estimate lines'!$P32="","",IF('Estimate lines'!M32="","",'Estimate lines'!M32))</f>
        <v/>
      </c>
      <c r="N32" s="11" t="str">
        <f t="shared" si="0"/>
        <v/>
      </c>
      <c r="O32" s="11" t="str">
        <f t="shared" si="1"/>
        <v/>
      </c>
      <c r="P32" s="15" t="str">
        <f>IF(A32="","",'Estimate lines'!N32)</f>
        <v/>
      </c>
      <c r="Q32" s="15" t="str">
        <f>IF(A32="","",'Estimate lines'!O32)</f>
        <v/>
      </c>
    </row>
    <row r="33" spans="1:17" ht="25.05" customHeight="1">
      <c r="A33" s="11" t="str">
        <f>IF('Estimate lines'!$P33="","",IF('Estimate lines'!A33="","",'Estimate lines'!A33))</f>
        <v/>
      </c>
      <c r="B33" s="11" t="str">
        <f>IF('Estimate lines'!$P33="","",IF('Estimate lines'!B33="","",'Estimate lines'!B33))</f>
        <v/>
      </c>
      <c r="C33" s="11" t="str">
        <f>IF('Estimate lines'!$P33="","",IF('Estimate lines'!C33="","",'Estimate lines'!C33))</f>
        <v/>
      </c>
      <c r="D33" s="11" t="str">
        <f>IF('Estimate lines'!$P33="","",IF('Estimate lines'!D33="","",'Estimate lines'!D33))</f>
        <v/>
      </c>
      <c r="E33" s="12" t="str">
        <f>IF('Estimate lines'!$P33="","",IF('Estimate lines'!E33="","",'Estimate lines'!E33))</f>
        <v/>
      </c>
      <c r="F33" s="20" t="str">
        <f>IF('Estimate lines'!$P33="","",IF('Estimate lines'!F33="","",'Estimate lines'!F33))</f>
        <v/>
      </c>
      <c r="G33" s="15" t="str">
        <f>IF('Estimate lines'!$P33="","",IF('Estimate lines'!G33="","",'Estimate lines'!G33))</f>
        <v/>
      </c>
      <c r="H33" s="15" t="str">
        <f>IF('Estimate lines'!$P33="","",IF('Estimate lines'!H33="","",'Estimate lines'!H33))</f>
        <v/>
      </c>
      <c r="I33" s="11" t="str">
        <f>IF('Estimate lines'!$P33="","",IF('Estimate lines'!I33="","",'Estimate lines'!I33))</f>
        <v/>
      </c>
      <c r="J33" s="11" t="str">
        <f>IF('Estimate lines'!$P33="","",IF('Estimate lines'!J33="","",'Estimate lines'!J33))</f>
        <v/>
      </c>
      <c r="K33" s="16" t="str">
        <f>IF('Estimate lines'!$P33="","",IF('Estimate lines'!K33="","",'Estimate lines'!K33))</f>
        <v/>
      </c>
      <c r="L33" s="11" t="str">
        <f>IF('Estimate lines'!$P33="","",IF('Estimate lines'!L33="","",'Estimate lines'!L33))</f>
        <v/>
      </c>
      <c r="M33" s="11" t="str">
        <f>IF('Estimate lines'!$P33="","",IF('Estimate lines'!M33="","",'Estimate lines'!M33))</f>
        <v/>
      </c>
      <c r="N33" s="11" t="str">
        <f t="shared" si="0"/>
        <v/>
      </c>
      <c r="O33" s="11" t="str">
        <f t="shared" si="1"/>
        <v/>
      </c>
      <c r="P33" s="15" t="str">
        <f>IF(A33="","",'Estimate lines'!N33)</f>
        <v/>
      </c>
      <c r="Q33" s="15" t="str">
        <f>IF(A33="","",'Estimate lines'!O33)</f>
        <v/>
      </c>
    </row>
    <row r="34" spans="1:17" ht="25.05" customHeight="1">
      <c r="A34" s="11" t="str">
        <f>IF('Estimate lines'!$P34="","",IF('Estimate lines'!A34="","",'Estimate lines'!A34))</f>
        <v/>
      </c>
      <c r="B34" s="11" t="str">
        <f>IF('Estimate lines'!$P34="","",IF('Estimate lines'!B34="","",'Estimate lines'!B34))</f>
        <v/>
      </c>
      <c r="C34" s="11" t="str">
        <f>IF('Estimate lines'!$P34="","",IF('Estimate lines'!C34="","",'Estimate lines'!C34))</f>
        <v/>
      </c>
      <c r="D34" s="11" t="str">
        <f>IF('Estimate lines'!$P34="","",IF('Estimate lines'!D34="","",'Estimate lines'!D34))</f>
        <v/>
      </c>
      <c r="E34" s="12" t="str">
        <f>IF('Estimate lines'!$P34="","",IF('Estimate lines'!E34="","",'Estimate lines'!E34))</f>
        <v/>
      </c>
      <c r="F34" s="20" t="str">
        <f>IF('Estimate lines'!$P34="","",IF('Estimate lines'!F34="","",'Estimate lines'!F34))</f>
        <v/>
      </c>
      <c r="G34" s="15" t="str">
        <f>IF('Estimate lines'!$P34="","",IF('Estimate lines'!G34="","",'Estimate lines'!G34))</f>
        <v/>
      </c>
      <c r="H34" s="15" t="str">
        <f>IF('Estimate lines'!$P34="","",IF('Estimate lines'!H34="","",'Estimate lines'!H34))</f>
        <v/>
      </c>
      <c r="I34" s="11" t="str">
        <f>IF('Estimate lines'!$P34="","",IF('Estimate lines'!I34="","",'Estimate lines'!I34))</f>
        <v/>
      </c>
      <c r="J34" s="11" t="str">
        <f>IF('Estimate lines'!$P34="","",IF('Estimate lines'!J34="","",'Estimate lines'!J34))</f>
        <v/>
      </c>
      <c r="K34" s="16" t="str">
        <f>IF('Estimate lines'!$P34="","",IF('Estimate lines'!K34="","",'Estimate lines'!K34))</f>
        <v/>
      </c>
      <c r="L34" s="11" t="str">
        <f>IF('Estimate lines'!$P34="","",IF('Estimate lines'!L34="","",'Estimate lines'!L34))</f>
        <v/>
      </c>
      <c r="M34" s="11" t="str">
        <f>IF('Estimate lines'!$P34="","",IF('Estimate lines'!M34="","",'Estimate lines'!M34))</f>
        <v/>
      </c>
      <c r="N34" s="11" t="str">
        <f t="shared" si="0"/>
        <v/>
      </c>
      <c r="O34" s="11" t="str">
        <f t="shared" si="1"/>
        <v/>
      </c>
      <c r="P34" s="15" t="str">
        <f>IF(A34="","",'Estimate lines'!N34)</f>
        <v/>
      </c>
      <c r="Q34" s="15" t="str">
        <f>IF(A34="","",'Estimate lines'!O34)</f>
        <v/>
      </c>
    </row>
    <row r="35" spans="1:17" ht="25.05" customHeight="1">
      <c r="A35" s="11" t="str">
        <f>IF('Estimate lines'!$P35="","",IF('Estimate lines'!A35="","",'Estimate lines'!A35))</f>
        <v/>
      </c>
      <c r="B35" s="11" t="str">
        <f>IF('Estimate lines'!$P35="","",IF('Estimate lines'!B35="","",'Estimate lines'!B35))</f>
        <v/>
      </c>
      <c r="C35" s="11" t="str">
        <f>IF('Estimate lines'!$P35="","",IF('Estimate lines'!C35="","",'Estimate lines'!C35))</f>
        <v/>
      </c>
      <c r="D35" s="11" t="str">
        <f>IF('Estimate lines'!$P35="","",IF('Estimate lines'!D35="","",'Estimate lines'!D35))</f>
        <v/>
      </c>
      <c r="E35" s="12" t="str">
        <f>IF('Estimate lines'!$P35="","",IF('Estimate lines'!E35="","",'Estimate lines'!E35))</f>
        <v/>
      </c>
      <c r="F35" s="20" t="str">
        <f>IF('Estimate lines'!$P35="","",IF('Estimate lines'!F35="","",'Estimate lines'!F35))</f>
        <v/>
      </c>
      <c r="G35" s="15" t="str">
        <f>IF('Estimate lines'!$P35="","",IF('Estimate lines'!G35="","",'Estimate lines'!G35))</f>
        <v/>
      </c>
      <c r="H35" s="15" t="str">
        <f>IF('Estimate lines'!$P35="","",IF('Estimate lines'!H35="","",'Estimate lines'!H35))</f>
        <v/>
      </c>
      <c r="I35" s="11" t="str">
        <f>IF('Estimate lines'!$P35="","",IF('Estimate lines'!I35="","",'Estimate lines'!I35))</f>
        <v/>
      </c>
      <c r="J35" s="11" t="str">
        <f>IF('Estimate lines'!$P35="","",IF('Estimate lines'!J35="","",'Estimate lines'!J35))</f>
        <v/>
      </c>
      <c r="K35" s="16" t="str">
        <f>IF('Estimate lines'!$P35="","",IF('Estimate lines'!K35="","",'Estimate lines'!K35))</f>
        <v/>
      </c>
      <c r="L35" s="11" t="str">
        <f>IF('Estimate lines'!$P35="","",IF('Estimate lines'!L35="","",'Estimate lines'!L35))</f>
        <v/>
      </c>
      <c r="M35" s="11" t="str">
        <f>IF('Estimate lines'!$P35="","",IF('Estimate lines'!M35="","",'Estimate lines'!M35))</f>
        <v/>
      </c>
      <c r="N35" s="11" t="str">
        <f t="shared" si="0"/>
        <v/>
      </c>
      <c r="O35" s="11" t="str">
        <f t="shared" si="1"/>
        <v/>
      </c>
      <c r="P35" s="15" t="str">
        <f>IF(A35="","",'Estimate lines'!N35)</f>
        <v/>
      </c>
      <c r="Q35" s="15" t="str">
        <f>IF(A35="","",'Estimate lines'!O35)</f>
        <v/>
      </c>
    </row>
    <row r="36" spans="1:17" ht="25.05" customHeight="1">
      <c r="A36" s="11" t="str">
        <f>IF('Estimate lines'!$P36="","",IF('Estimate lines'!A36="","",'Estimate lines'!A36))</f>
        <v/>
      </c>
      <c r="B36" s="11" t="str">
        <f>IF('Estimate lines'!$P36="","",IF('Estimate lines'!B36="","",'Estimate lines'!B36))</f>
        <v/>
      </c>
      <c r="C36" s="11" t="str">
        <f>IF('Estimate lines'!$P36="","",IF('Estimate lines'!C36="","",'Estimate lines'!C36))</f>
        <v/>
      </c>
      <c r="D36" s="11" t="str">
        <f>IF('Estimate lines'!$P36="","",IF('Estimate lines'!D36="","",'Estimate lines'!D36))</f>
        <v/>
      </c>
      <c r="E36" s="12" t="str">
        <f>IF('Estimate lines'!$P36="","",IF('Estimate lines'!E36="","",'Estimate lines'!E36))</f>
        <v/>
      </c>
      <c r="F36" s="20" t="str">
        <f>IF('Estimate lines'!$P36="","",IF('Estimate lines'!F36="","",'Estimate lines'!F36))</f>
        <v/>
      </c>
      <c r="G36" s="15" t="str">
        <f>IF('Estimate lines'!$P36="","",IF('Estimate lines'!G36="","",'Estimate lines'!G36))</f>
        <v/>
      </c>
      <c r="H36" s="15" t="str">
        <f>IF('Estimate lines'!$P36="","",IF('Estimate lines'!H36="","",'Estimate lines'!H36))</f>
        <v/>
      </c>
      <c r="I36" s="11" t="str">
        <f>IF('Estimate lines'!$P36="","",IF('Estimate lines'!I36="","",'Estimate lines'!I36))</f>
        <v/>
      </c>
      <c r="J36" s="11" t="str">
        <f>IF('Estimate lines'!$P36="","",IF('Estimate lines'!J36="","",'Estimate lines'!J36))</f>
        <v/>
      </c>
      <c r="K36" s="16" t="str">
        <f>IF('Estimate lines'!$P36="","",IF('Estimate lines'!K36="","",'Estimate lines'!K36))</f>
        <v/>
      </c>
      <c r="L36" s="11" t="str">
        <f>IF('Estimate lines'!$P36="","",IF('Estimate lines'!L36="","",'Estimate lines'!L36))</f>
        <v/>
      </c>
      <c r="M36" s="11" t="str">
        <f>IF('Estimate lines'!$P36="","",IF('Estimate lines'!M36="","",'Estimate lines'!M36))</f>
        <v/>
      </c>
      <c r="N36" s="11" t="str">
        <f t="shared" si="0"/>
        <v/>
      </c>
      <c r="O36" s="11" t="str">
        <f t="shared" si="1"/>
        <v/>
      </c>
      <c r="P36" s="15" t="str">
        <f>IF(A36="","",'Estimate lines'!N36)</f>
        <v/>
      </c>
      <c r="Q36" s="15" t="str">
        <f>IF(A36="","",'Estimate lines'!O36)</f>
        <v/>
      </c>
    </row>
    <row r="37" spans="1:17" ht="25.05" customHeight="1">
      <c r="A37" s="11" t="str">
        <f>IF('Estimate lines'!$P37="","",IF('Estimate lines'!A37="","",'Estimate lines'!A37))</f>
        <v/>
      </c>
      <c r="B37" s="11" t="str">
        <f>IF('Estimate lines'!$P37="","",IF('Estimate lines'!B37="","",'Estimate lines'!B37))</f>
        <v/>
      </c>
      <c r="C37" s="11" t="str">
        <f>IF('Estimate lines'!$P37="","",IF('Estimate lines'!C37="","",'Estimate lines'!C37))</f>
        <v/>
      </c>
      <c r="D37" s="11" t="str">
        <f>IF('Estimate lines'!$P37="","",IF('Estimate lines'!D37="","",'Estimate lines'!D37))</f>
        <v/>
      </c>
      <c r="E37" s="12" t="str">
        <f>IF('Estimate lines'!$P37="","",IF('Estimate lines'!E37="","",'Estimate lines'!E37))</f>
        <v/>
      </c>
      <c r="F37" s="20" t="str">
        <f>IF('Estimate lines'!$P37="","",IF('Estimate lines'!F37="","",'Estimate lines'!F37))</f>
        <v/>
      </c>
      <c r="G37" s="15" t="str">
        <f>IF('Estimate lines'!$P37="","",IF('Estimate lines'!G37="","",'Estimate lines'!G37))</f>
        <v/>
      </c>
      <c r="H37" s="15" t="str">
        <f>IF('Estimate lines'!$P37="","",IF('Estimate lines'!H37="","",'Estimate lines'!H37))</f>
        <v/>
      </c>
      <c r="I37" s="11" t="str">
        <f>IF('Estimate lines'!$P37="","",IF('Estimate lines'!I37="","",'Estimate lines'!I37))</f>
        <v/>
      </c>
      <c r="J37" s="11" t="str">
        <f>IF('Estimate lines'!$P37="","",IF('Estimate lines'!J37="","",'Estimate lines'!J37))</f>
        <v/>
      </c>
      <c r="K37" s="16" t="str">
        <f>IF('Estimate lines'!$P37="","",IF('Estimate lines'!K37="","",'Estimate lines'!K37))</f>
        <v/>
      </c>
      <c r="L37" s="11" t="str">
        <f>IF('Estimate lines'!$P37="","",IF('Estimate lines'!L37="","",'Estimate lines'!L37))</f>
        <v/>
      </c>
      <c r="M37" s="11" t="str">
        <f>IF('Estimate lines'!$P37="","",IF('Estimate lines'!M37="","",'Estimate lines'!M37))</f>
        <v/>
      </c>
      <c r="N37" s="11" t="str">
        <f t="shared" si="0"/>
        <v/>
      </c>
      <c r="O37" s="11" t="str">
        <f t="shared" si="1"/>
        <v/>
      </c>
      <c r="P37" s="15" t="str">
        <f>IF(A37="","",'Estimate lines'!N37)</f>
        <v/>
      </c>
      <c r="Q37" s="15" t="str">
        <f>IF(A37="","",'Estimate lines'!O37)</f>
        <v/>
      </c>
    </row>
    <row r="38" spans="1:17" ht="25.05" customHeight="1">
      <c r="A38" s="11" t="str">
        <f>IF('Estimate lines'!$P38="","",IF('Estimate lines'!A38="","",'Estimate lines'!A38))</f>
        <v/>
      </c>
      <c r="B38" s="11" t="str">
        <f>IF('Estimate lines'!$P38="","",IF('Estimate lines'!B38="","",'Estimate lines'!B38))</f>
        <v/>
      </c>
      <c r="C38" s="11" t="str">
        <f>IF('Estimate lines'!$P38="","",IF('Estimate lines'!C38="","",'Estimate lines'!C38))</f>
        <v/>
      </c>
      <c r="D38" s="11" t="str">
        <f>IF('Estimate lines'!$P38="","",IF('Estimate lines'!D38="","",'Estimate lines'!D38))</f>
        <v/>
      </c>
      <c r="E38" s="12" t="str">
        <f>IF('Estimate lines'!$P38="","",IF('Estimate lines'!E38="","",'Estimate lines'!E38))</f>
        <v/>
      </c>
      <c r="F38" s="20" t="str">
        <f>IF('Estimate lines'!$P38="","",IF('Estimate lines'!F38="","",'Estimate lines'!F38))</f>
        <v/>
      </c>
      <c r="G38" s="15" t="str">
        <f>IF('Estimate lines'!$P38="","",IF('Estimate lines'!G38="","",'Estimate lines'!G38))</f>
        <v/>
      </c>
      <c r="H38" s="15" t="str">
        <f>IF('Estimate lines'!$P38="","",IF('Estimate lines'!H38="","",'Estimate lines'!H38))</f>
        <v/>
      </c>
      <c r="I38" s="11" t="str">
        <f>IF('Estimate lines'!$P38="","",IF('Estimate lines'!I38="","",'Estimate lines'!I38))</f>
        <v/>
      </c>
      <c r="J38" s="11" t="str">
        <f>IF('Estimate lines'!$P38="","",IF('Estimate lines'!J38="","",'Estimate lines'!J38))</f>
        <v/>
      </c>
      <c r="K38" s="16" t="str">
        <f>IF('Estimate lines'!$P38="","",IF('Estimate lines'!K38="","",'Estimate lines'!K38))</f>
        <v/>
      </c>
      <c r="L38" s="11" t="str">
        <f>IF('Estimate lines'!$P38="","",IF('Estimate lines'!L38="","",'Estimate lines'!L38))</f>
        <v/>
      </c>
      <c r="M38" s="11" t="str">
        <f>IF('Estimate lines'!$P38="","",IF('Estimate lines'!M38="","",'Estimate lines'!M38))</f>
        <v/>
      </c>
      <c r="N38" s="11" t="str">
        <f t="shared" ref="N38:N69" si="2">IF(A38="","","Estimate lines")</f>
        <v/>
      </c>
      <c r="O38" s="11" t="str">
        <f t="shared" ref="O38:O69" si="3">IF(A38="","",ROW())</f>
        <v/>
      </c>
      <c r="P38" s="15" t="str">
        <f>IF(A38="","",'Estimate lines'!N38)</f>
        <v/>
      </c>
      <c r="Q38" s="15" t="str">
        <f>IF(A38="","",'Estimate lines'!O38)</f>
        <v/>
      </c>
    </row>
    <row r="39" spans="1:17" ht="25.05" customHeight="1">
      <c r="A39" s="11" t="str">
        <f>IF('Estimate lines'!$P39="","",IF('Estimate lines'!A39="","",'Estimate lines'!A39))</f>
        <v/>
      </c>
      <c r="B39" s="11" t="str">
        <f>IF('Estimate lines'!$P39="","",IF('Estimate lines'!B39="","",'Estimate lines'!B39))</f>
        <v/>
      </c>
      <c r="C39" s="11" t="str">
        <f>IF('Estimate lines'!$P39="","",IF('Estimate lines'!C39="","",'Estimate lines'!C39))</f>
        <v/>
      </c>
      <c r="D39" s="11" t="str">
        <f>IF('Estimate lines'!$P39="","",IF('Estimate lines'!D39="","",'Estimate lines'!D39))</f>
        <v/>
      </c>
      <c r="E39" s="12" t="str">
        <f>IF('Estimate lines'!$P39="","",IF('Estimate lines'!E39="","",'Estimate lines'!E39))</f>
        <v/>
      </c>
      <c r="F39" s="20" t="str">
        <f>IF('Estimate lines'!$P39="","",IF('Estimate lines'!F39="","",'Estimate lines'!F39))</f>
        <v/>
      </c>
      <c r="G39" s="15" t="str">
        <f>IF('Estimate lines'!$P39="","",IF('Estimate lines'!G39="","",'Estimate lines'!G39))</f>
        <v/>
      </c>
      <c r="H39" s="15" t="str">
        <f>IF('Estimate lines'!$P39="","",IF('Estimate lines'!H39="","",'Estimate lines'!H39))</f>
        <v/>
      </c>
      <c r="I39" s="11" t="str">
        <f>IF('Estimate lines'!$P39="","",IF('Estimate lines'!I39="","",'Estimate lines'!I39))</f>
        <v/>
      </c>
      <c r="J39" s="11" t="str">
        <f>IF('Estimate lines'!$P39="","",IF('Estimate lines'!J39="","",'Estimate lines'!J39))</f>
        <v/>
      </c>
      <c r="K39" s="16" t="str">
        <f>IF('Estimate lines'!$P39="","",IF('Estimate lines'!K39="","",'Estimate lines'!K39))</f>
        <v/>
      </c>
      <c r="L39" s="11" t="str">
        <f>IF('Estimate lines'!$P39="","",IF('Estimate lines'!L39="","",'Estimate lines'!L39))</f>
        <v/>
      </c>
      <c r="M39" s="11" t="str">
        <f>IF('Estimate lines'!$P39="","",IF('Estimate lines'!M39="","",'Estimate lines'!M39))</f>
        <v/>
      </c>
      <c r="N39" s="11" t="str">
        <f t="shared" si="2"/>
        <v/>
      </c>
      <c r="O39" s="11" t="str">
        <f t="shared" si="3"/>
        <v/>
      </c>
      <c r="P39" s="15" t="str">
        <f>IF(A39="","",'Estimate lines'!N39)</f>
        <v/>
      </c>
      <c r="Q39" s="15" t="str">
        <f>IF(A39="","",'Estimate lines'!O39)</f>
        <v/>
      </c>
    </row>
    <row r="40" spans="1:17" ht="25.05" customHeight="1">
      <c r="A40" s="11" t="str">
        <f>IF('Estimate lines'!$P40="","",IF('Estimate lines'!A40="","",'Estimate lines'!A40))</f>
        <v/>
      </c>
      <c r="B40" s="11" t="str">
        <f>IF('Estimate lines'!$P40="","",IF('Estimate lines'!B40="","",'Estimate lines'!B40))</f>
        <v/>
      </c>
      <c r="C40" s="11" t="str">
        <f>IF('Estimate lines'!$P40="","",IF('Estimate lines'!C40="","",'Estimate lines'!C40))</f>
        <v/>
      </c>
      <c r="D40" s="11" t="str">
        <f>IF('Estimate lines'!$P40="","",IF('Estimate lines'!D40="","",'Estimate lines'!D40))</f>
        <v/>
      </c>
      <c r="E40" s="12" t="str">
        <f>IF('Estimate lines'!$P40="","",IF('Estimate lines'!E40="","",'Estimate lines'!E40))</f>
        <v/>
      </c>
      <c r="F40" s="20" t="str">
        <f>IF('Estimate lines'!$P40="","",IF('Estimate lines'!F40="","",'Estimate lines'!F40))</f>
        <v/>
      </c>
      <c r="G40" s="15" t="str">
        <f>IF('Estimate lines'!$P40="","",IF('Estimate lines'!G40="","",'Estimate lines'!G40))</f>
        <v/>
      </c>
      <c r="H40" s="15" t="str">
        <f>IF('Estimate lines'!$P40="","",IF('Estimate lines'!H40="","",'Estimate lines'!H40))</f>
        <v/>
      </c>
      <c r="I40" s="11" t="str">
        <f>IF('Estimate lines'!$P40="","",IF('Estimate lines'!I40="","",'Estimate lines'!I40))</f>
        <v/>
      </c>
      <c r="J40" s="11" t="str">
        <f>IF('Estimate lines'!$P40="","",IF('Estimate lines'!J40="","",'Estimate lines'!J40))</f>
        <v/>
      </c>
      <c r="K40" s="16" t="str">
        <f>IF('Estimate lines'!$P40="","",IF('Estimate lines'!K40="","",'Estimate lines'!K40))</f>
        <v/>
      </c>
      <c r="L40" s="11" t="str">
        <f>IF('Estimate lines'!$P40="","",IF('Estimate lines'!L40="","",'Estimate lines'!L40))</f>
        <v/>
      </c>
      <c r="M40" s="11" t="str">
        <f>IF('Estimate lines'!$P40="","",IF('Estimate lines'!M40="","",'Estimate lines'!M40))</f>
        <v/>
      </c>
      <c r="N40" s="11" t="str">
        <f t="shared" si="2"/>
        <v/>
      </c>
      <c r="O40" s="11" t="str">
        <f t="shared" si="3"/>
        <v/>
      </c>
      <c r="P40" s="15" t="str">
        <f>IF(A40="","",'Estimate lines'!N40)</f>
        <v/>
      </c>
      <c r="Q40" s="15" t="str">
        <f>IF(A40="","",'Estimate lines'!O40)</f>
        <v/>
      </c>
    </row>
    <row r="41" spans="1:17" ht="25.05" customHeight="1">
      <c r="A41" s="11" t="str">
        <f>IF('Estimate lines'!$P41="","",IF('Estimate lines'!A41="","",'Estimate lines'!A41))</f>
        <v/>
      </c>
      <c r="B41" s="11" t="str">
        <f>IF('Estimate lines'!$P41="","",IF('Estimate lines'!B41="","",'Estimate lines'!B41))</f>
        <v/>
      </c>
      <c r="C41" s="11" t="str">
        <f>IF('Estimate lines'!$P41="","",IF('Estimate lines'!C41="","",'Estimate lines'!C41))</f>
        <v/>
      </c>
      <c r="D41" s="11" t="str">
        <f>IF('Estimate lines'!$P41="","",IF('Estimate lines'!D41="","",'Estimate lines'!D41))</f>
        <v/>
      </c>
      <c r="E41" s="12" t="str">
        <f>IF('Estimate lines'!$P41="","",IF('Estimate lines'!E41="","",'Estimate lines'!E41))</f>
        <v/>
      </c>
      <c r="F41" s="20" t="str">
        <f>IF('Estimate lines'!$P41="","",IF('Estimate lines'!F41="","",'Estimate lines'!F41))</f>
        <v/>
      </c>
      <c r="G41" s="15" t="str">
        <f>IF('Estimate lines'!$P41="","",IF('Estimate lines'!G41="","",'Estimate lines'!G41))</f>
        <v/>
      </c>
      <c r="H41" s="15" t="str">
        <f>IF('Estimate lines'!$P41="","",IF('Estimate lines'!H41="","",'Estimate lines'!H41))</f>
        <v/>
      </c>
      <c r="I41" s="11" t="str">
        <f>IF('Estimate lines'!$P41="","",IF('Estimate lines'!I41="","",'Estimate lines'!I41))</f>
        <v/>
      </c>
      <c r="J41" s="11" t="str">
        <f>IF('Estimate lines'!$P41="","",IF('Estimate lines'!J41="","",'Estimate lines'!J41))</f>
        <v/>
      </c>
      <c r="K41" s="16" t="str">
        <f>IF('Estimate lines'!$P41="","",IF('Estimate lines'!K41="","",'Estimate lines'!K41))</f>
        <v/>
      </c>
      <c r="L41" s="11" t="str">
        <f>IF('Estimate lines'!$P41="","",IF('Estimate lines'!L41="","",'Estimate lines'!L41))</f>
        <v/>
      </c>
      <c r="M41" s="11" t="str">
        <f>IF('Estimate lines'!$P41="","",IF('Estimate lines'!M41="","",'Estimate lines'!M41))</f>
        <v/>
      </c>
      <c r="N41" s="11" t="str">
        <f t="shared" si="2"/>
        <v/>
      </c>
      <c r="O41" s="11" t="str">
        <f t="shared" si="3"/>
        <v/>
      </c>
      <c r="P41" s="15" t="str">
        <f>IF(A41="","",'Estimate lines'!N41)</f>
        <v/>
      </c>
      <c r="Q41" s="15" t="str">
        <f>IF(A41="","",'Estimate lines'!O41)</f>
        <v/>
      </c>
    </row>
    <row r="42" spans="1:17" ht="25.05" customHeight="1">
      <c r="A42" s="11" t="str">
        <f>IF('Estimate lines'!$P42="","",IF('Estimate lines'!A42="","",'Estimate lines'!A42))</f>
        <v/>
      </c>
      <c r="B42" s="11" t="str">
        <f>IF('Estimate lines'!$P42="","",IF('Estimate lines'!B42="","",'Estimate lines'!B42))</f>
        <v/>
      </c>
      <c r="C42" s="11" t="str">
        <f>IF('Estimate lines'!$P42="","",IF('Estimate lines'!C42="","",'Estimate lines'!C42))</f>
        <v/>
      </c>
      <c r="D42" s="11" t="str">
        <f>IF('Estimate lines'!$P42="","",IF('Estimate lines'!D42="","",'Estimate lines'!D42))</f>
        <v/>
      </c>
      <c r="E42" s="12" t="str">
        <f>IF('Estimate lines'!$P42="","",IF('Estimate lines'!E42="","",'Estimate lines'!E42))</f>
        <v/>
      </c>
      <c r="F42" s="20" t="str">
        <f>IF('Estimate lines'!$P42="","",IF('Estimate lines'!F42="","",'Estimate lines'!F42))</f>
        <v/>
      </c>
      <c r="G42" s="15" t="str">
        <f>IF('Estimate lines'!$P42="","",IF('Estimate lines'!G42="","",'Estimate lines'!G42))</f>
        <v/>
      </c>
      <c r="H42" s="15" t="str">
        <f>IF('Estimate lines'!$P42="","",IF('Estimate lines'!H42="","",'Estimate lines'!H42))</f>
        <v/>
      </c>
      <c r="I42" s="11" t="str">
        <f>IF('Estimate lines'!$P42="","",IF('Estimate lines'!I42="","",'Estimate lines'!I42))</f>
        <v/>
      </c>
      <c r="J42" s="11" t="str">
        <f>IF('Estimate lines'!$P42="","",IF('Estimate lines'!J42="","",'Estimate lines'!J42))</f>
        <v/>
      </c>
      <c r="K42" s="16" t="str">
        <f>IF('Estimate lines'!$P42="","",IF('Estimate lines'!K42="","",'Estimate lines'!K42))</f>
        <v/>
      </c>
      <c r="L42" s="11" t="str">
        <f>IF('Estimate lines'!$P42="","",IF('Estimate lines'!L42="","",'Estimate lines'!L42))</f>
        <v/>
      </c>
      <c r="M42" s="11" t="str">
        <f>IF('Estimate lines'!$P42="","",IF('Estimate lines'!M42="","",'Estimate lines'!M42))</f>
        <v/>
      </c>
      <c r="N42" s="11" t="str">
        <f t="shared" si="2"/>
        <v/>
      </c>
      <c r="O42" s="11" t="str">
        <f t="shared" si="3"/>
        <v/>
      </c>
      <c r="P42" s="15" t="str">
        <f>IF(A42="","",'Estimate lines'!N42)</f>
        <v/>
      </c>
      <c r="Q42" s="15" t="str">
        <f>IF(A42="","",'Estimate lines'!O42)</f>
        <v/>
      </c>
    </row>
    <row r="43" spans="1:17" ht="25.05" customHeight="1">
      <c r="A43" s="11" t="str">
        <f>IF('Estimate lines'!$P43="","",IF('Estimate lines'!A43="","",'Estimate lines'!A43))</f>
        <v/>
      </c>
      <c r="B43" s="11" t="str">
        <f>IF('Estimate lines'!$P43="","",IF('Estimate lines'!B43="","",'Estimate lines'!B43))</f>
        <v/>
      </c>
      <c r="C43" s="11" t="str">
        <f>IF('Estimate lines'!$P43="","",IF('Estimate lines'!C43="","",'Estimate lines'!C43))</f>
        <v/>
      </c>
      <c r="D43" s="11" t="str">
        <f>IF('Estimate lines'!$P43="","",IF('Estimate lines'!D43="","",'Estimate lines'!D43))</f>
        <v/>
      </c>
      <c r="E43" s="12" t="str">
        <f>IF('Estimate lines'!$P43="","",IF('Estimate lines'!E43="","",'Estimate lines'!E43))</f>
        <v/>
      </c>
      <c r="F43" s="20" t="str">
        <f>IF('Estimate lines'!$P43="","",IF('Estimate lines'!F43="","",'Estimate lines'!F43))</f>
        <v/>
      </c>
      <c r="G43" s="15" t="str">
        <f>IF('Estimate lines'!$P43="","",IF('Estimate lines'!G43="","",'Estimate lines'!G43))</f>
        <v/>
      </c>
      <c r="H43" s="15" t="str">
        <f>IF('Estimate lines'!$P43="","",IF('Estimate lines'!H43="","",'Estimate lines'!H43))</f>
        <v/>
      </c>
      <c r="I43" s="11" t="str">
        <f>IF('Estimate lines'!$P43="","",IF('Estimate lines'!I43="","",'Estimate lines'!I43))</f>
        <v/>
      </c>
      <c r="J43" s="11" t="str">
        <f>IF('Estimate lines'!$P43="","",IF('Estimate lines'!J43="","",'Estimate lines'!J43))</f>
        <v/>
      </c>
      <c r="K43" s="16" t="str">
        <f>IF('Estimate lines'!$P43="","",IF('Estimate lines'!K43="","",'Estimate lines'!K43))</f>
        <v/>
      </c>
      <c r="L43" s="11" t="str">
        <f>IF('Estimate lines'!$P43="","",IF('Estimate lines'!L43="","",'Estimate lines'!L43))</f>
        <v/>
      </c>
      <c r="M43" s="11" t="str">
        <f>IF('Estimate lines'!$P43="","",IF('Estimate lines'!M43="","",'Estimate lines'!M43))</f>
        <v/>
      </c>
      <c r="N43" s="11" t="str">
        <f t="shared" si="2"/>
        <v/>
      </c>
      <c r="O43" s="11" t="str">
        <f t="shared" si="3"/>
        <v/>
      </c>
      <c r="P43" s="15" t="str">
        <f>IF(A43="","",'Estimate lines'!N43)</f>
        <v/>
      </c>
      <c r="Q43" s="15" t="str">
        <f>IF(A43="","",'Estimate lines'!O43)</f>
        <v/>
      </c>
    </row>
    <row r="44" spans="1:17" ht="25.05" customHeight="1">
      <c r="A44" s="11" t="str">
        <f>IF('Estimate lines'!$P44="","",IF('Estimate lines'!A44="","",'Estimate lines'!A44))</f>
        <v/>
      </c>
      <c r="B44" s="11" t="str">
        <f>IF('Estimate lines'!$P44="","",IF('Estimate lines'!B44="","",'Estimate lines'!B44))</f>
        <v/>
      </c>
      <c r="C44" s="11" t="str">
        <f>IF('Estimate lines'!$P44="","",IF('Estimate lines'!C44="","",'Estimate lines'!C44))</f>
        <v/>
      </c>
      <c r="D44" s="11" t="str">
        <f>IF('Estimate lines'!$P44="","",IF('Estimate lines'!D44="","",'Estimate lines'!D44))</f>
        <v/>
      </c>
      <c r="E44" s="12" t="str">
        <f>IF('Estimate lines'!$P44="","",IF('Estimate lines'!E44="","",'Estimate lines'!E44))</f>
        <v/>
      </c>
      <c r="F44" s="20" t="str">
        <f>IF('Estimate lines'!$P44="","",IF('Estimate lines'!F44="","",'Estimate lines'!F44))</f>
        <v/>
      </c>
      <c r="G44" s="15" t="str">
        <f>IF('Estimate lines'!$P44="","",IF('Estimate lines'!G44="","",'Estimate lines'!G44))</f>
        <v/>
      </c>
      <c r="H44" s="15" t="str">
        <f>IF('Estimate lines'!$P44="","",IF('Estimate lines'!H44="","",'Estimate lines'!H44))</f>
        <v/>
      </c>
      <c r="I44" s="11" t="str">
        <f>IF('Estimate lines'!$P44="","",IF('Estimate lines'!I44="","",'Estimate lines'!I44))</f>
        <v/>
      </c>
      <c r="J44" s="11" t="str">
        <f>IF('Estimate lines'!$P44="","",IF('Estimate lines'!J44="","",'Estimate lines'!J44))</f>
        <v/>
      </c>
      <c r="K44" s="16" t="str">
        <f>IF('Estimate lines'!$P44="","",IF('Estimate lines'!K44="","",'Estimate lines'!K44))</f>
        <v/>
      </c>
      <c r="L44" s="11" t="str">
        <f>IF('Estimate lines'!$P44="","",IF('Estimate lines'!L44="","",'Estimate lines'!L44))</f>
        <v/>
      </c>
      <c r="M44" s="11" t="str">
        <f>IF('Estimate lines'!$P44="","",IF('Estimate lines'!M44="","",'Estimate lines'!M44))</f>
        <v/>
      </c>
      <c r="N44" s="11" t="str">
        <f t="shared" si="2"/>
        <v/>
      </c>
      <c r="O44" s="11" t="str">
        <f t="shared" si="3"/>
        <v/>
      </c>
      <c r="P44" s="15" t="str">
        <f>IF(A44="","",'Estimate lines'!N44)</f>
        <v/>
      </c>
      <c r="Q44" s="15" t="str">
        <f>IF(A44="","",'Estimate lines'!O44)</f>
        <v/>
      </c>
    </row>
    <row r="45" spans="1:17" ht="25.05" customHeight="1">
      <c r="A45" s="11" t="str">
        <f>IF('Estimate lines'!$P45="","",IF('Estimate lines'!A45="","",'Estimate lines'!A45))</f>
        <v/>
      </c>
      <c r="B45" s="11" t="str">
        <f>IF('Estimate lines'!$P45="","",IF('Estimate lines'!B45="","",'Estimate lines'!B45))</f>
        <v/>
      </c>
      <c r="C45" s="11" t="str">
        <f>IF('Estimate lines'!$P45="","",IF('Estimate lines'!C45="","",'Estimate lines'!C45))</f>
        <v/>
      </c>
      <c r="D45" s="11" t="str">
        <f>IF('Estimate lines'!$P45="","",IF('Estimate lines'!D45="","",'Estimate lines'!D45))</f>
        <v/>
      </c>
      <c r="E45" s="12" t="str">
        <f>IF('Estimate lines'!$P45="","",IF('Estimate lines'!E45="","",'Estimate lines'!E45))</f>
        <v/>
      </c>
      <c r="F45" s="20" t="str">
        <f>IF('Estimate lines'!$P45="","",IF('Estimate lines'!F45="","",'Estimate lines'!F45))</f>
        <v/>
      </c>
      <c r="G45" s="15" t="str">
        <f>IF('Estimate lines'!$P45="","",IF('Estimate lines'!G45="","",'Estimate lines'!G45))</f>
        <v/>
      </c>
      <c r="H45" s="15" t="str">
        <f>IF('Estimate lines'!$P45="","",IF('Estimate lines'!H45="","",'Estimate lines'!H45))</f>
        <v/>
      </c>
      <c r="I45" s="11" t="str">
        <f>IF('Estimate lines'!$P45="","",IF('Estimate lines'!I45="","",'Estimate lines'!I45))</f>
        <v/>
      </c>
      <c r="J45" s="11" t="str">
        <f>IF('Estimate lines'!$P45="","",IF('Estimate lines'!J45="","",'Estimate lines'!J45))</f>
        <v/>
      </c>
      <c r="K45" s="16" t="str">
        <f>IF('Estimate lines'!$P45="","",IF('Estimate lines'!K45="","",'Estimate lines'!K45))</f>
        <v/>
      </c>
      <c r="L45" s="11" t="str">
        <f>IF('Estimate lines'!$P45="","",IF('Estimate lines'!L45="","",'Estimate lines'!L45))</f>
        <v/>
      </c>
      <c r="M45" s="11" t="str">
        <f>IF('Estimate lines'!$P45="","",IF('Estimate lines'!M45="","",'Estimate lines'!M45))</f>
        <v/>
      </c>
      <c r="N45" s="11" t="str">
        <f t="shared" si="2"/>
        <v/>
      </c>
      <c r="O45" s="11" t="str">
        <f t="shared" si="3"/>
        <v/>
      </c>
      <c r="P45" s="15" t="str">
        <f>IF(A45="","",'Estimate lines'!N45)</f>
        <v/>
      </c>
      <c r="Q45" s="15" t="str">
        <f>IF(A45="","",'Estimate lines'!O45)</f>
        <v/>
      </c>
    </row>
    <row r="46" spans="1:17" ht="25.05" customHeight="1">
      <c r="A46" s="11" t="str">
        <f>IF('Estimate lines'!$P46="","",IF('Estimate lines'!A46="","",'Estimate lines'!A46))</f>
        <v/>
      </c>
      <c r="B46" s="11" t="str">
        <f>IF('Estimate lines'!$P46="","",IF('Estimate lines'!B46="","",'Estimate lines'!B46))</f>
        <v/>
      </c>
      <c r="C46" s="11" t="str">
        <f>IF('Estimate lines'!$P46="","",IF('Estimate lines'!C46="","",'Estimate lines'!C46))</f>
        <v/>
      </c>
      <c r="D46" s="11" t="str">
        <f>IF('Estimate lines'!$P46="","",IF('Estimate lines'!D46="","",'Estimate lines'!D46))</f>
        <v/>
      </c>
      <c r="E46" s="12" t="str">
        <f>IF('Estimate lines'!$P46="","",IF('Estimate lines'!E46="","",'Estimate lines'!E46))</f>
        <v/>
      </c>
      <c r="F46" s="20" t="str">
        <f>IF('Estimate lines'!$P46="","",IF('Estimate lines'!F46="","",'Estimate lines'!F46))</f>
        <v/>
      </c>
      <c r="G46" s="15" t="str">
        <f>IF('Estimate lines'!$P46="","",IF('Estimate lines'!G46="","",'Estimate lines'!G46))</f>
        <v/>
      </c>
      <c r="H46" s="15" t="str">
        <f>IF('Estimate lines'!$P46="","",IF('Estimate lines'!H46="","",'Estimate lines'!H46))</f>
        <v/>
      </c>
      <c r="I46" s="11" t="str">
        <f>IF('Estimate lines'!$P46="","",IF('Estimate lines'!I46="","",'Estimate lines'!I46))</f>
        <v/>
      </c>
      <c r="J46" s="11" t="str">
        <f>IF('Estimate lines'!$P46="","",IF('Estimate lines'!J46="","",'Estimate lines'!J46))</f>
        <v/>
      </c>
      <c r="K46" s="16" t="str">
        <f>IF('Estimate lines'!$P46="","",IF('Estimate lines'!K46="","",'Estimate lines'!K46))</f>
        <v/>
      </c>
      <c r="L46" s="11" t="str">
        <f>IF('Estimate lines'!$P46="","",IF('Estimate lines'!L46="","",'Estimate lines'!L46))</f>
        <v/>
      </c>
      <c r="M46" s="11" t="str">
        <f>IF('Estimate lines'!$P46="","",IF('Estimate lines'!M46="","",'Estimate lines'!M46))</f>
        <v/>
      </c>
      <c r="N46" s="11" t="str">
        <f t="shared" si="2"/>
        <v/>
      </c>
      <c r="O46" s="11" t="str">
        <f t="shared" si="3"/>
        <v/>
      </c>
      <c r="P46" s="15" t="str">
        <f>IF(A46="","",'Estimate lines'!N46)</f>
        <v/>
      </c>
      <c r="Q46" s="15" t="str">
        <f>IF(A46="","",'Estimate lines'!O46)</f>
        <v/>
      </c>
    </row>
    <row r="47" spans="1:17" ht="25.05" customHeight="1">
      <c r="A47" s="11" t="str">
        <f>IF('Estimate lines'!$P47="","",IF('Estimate lines'!A47="","",'Estimate lines'!A47))</f>
        <v/>
      </c>
      <c r="B47" s="11" t="str">
        <f>IF('Estimate lines'!$P47="","",IF('Estimate lines'!B47="","",'Estimate lines'!B47))</f>
        <v/>
      </c>
      <c r="C47" s="11" t="str">
        <f>IF('Estimate lines'!$P47="","",IF('Estimate lines'!C47="","",'Estimate lines'!C47))</f>
        <v/>
      </c>
      <c r="D47" s="11" t="str">
        <f>IF('Estimate lines'!$P47="","",IF('Estimate lines'!D47="","",'Estimate lines'!D47))</f>
        <v/>
      </c>
      <c r="E47" s="12" t="str">
        <f>IF('Estimate lines'!$P47="","",IF('Estimate lines'!E47="","",'Estimate lines'!E47))</f>
        <v/>
      </c>
      <c r="F47" s="20" t="str">
        <f>IF('Estimate lines'!$P47="","",IF('Estimate lines'!F47="","",'Estimate lines'!F47))</f>
        <v/>
      </c>
      <c r="G47" s="15" t="str">
        <f>IF('Estimate lines'!$P47="","",IF('Estimate lines'!G47="","",'Estimate lines'!G47))</f>
        <v/>
      </c>
      <c r="H47" s="15" t="str">
        <f>IF('Estimate lines'!$P47="","",IF('Estimate lines'!H47="","",'Estimate lines'!H47))</f>
        <v/>
      </c>
      <c r="I47" s="11" t="str">
        <f>IF('Estimate lines'!$P47="","",IF('Estimate lines'!I47="","",'Estimate lines'!I47))</f>
        <v/>
      </c>
      <c r="J47" s="11" t="str">
        <f>IF('Estimate lines'!$P47="","",IF('Estimate lines'!J47="","",'Estimate lines'!J47))</f>
        <v/>
      </c>
      <c r="K47" s="16" t="str">
        <f>IF('Estimate lines'!$P47="","",IF('Estimate lines'!K47="","",'Estimate lines'!K47))</f>
        <v/>
      </c>
      <c r="L47" s="11" t="str">
        <f>IF('Estimate lines'!$P47="","",IF('Estimate lines'!L47="","",'Estimate lines'!L47))</f>
        <v/>
      </c>
      <c r="M47" s="11" t="str">
        <f>IF('Estimate lines'!$P47="","",IF('Estimate lines'!M47="","",'Estimate lines'!M47))</f>
        <v/>
      </c>
      <c r="N47" s="11" t="str">
        <f t="shared" si="2"/>
        <v/>
      </c>
      <c r="O47" s="11" t="str">
        <f t="shared" si="3"/>
        <v/>
      </c>
      <c r="P47" s="15" t="str">
        <f>IF(A47="","",'Estimate lines'!N47)</f>
        <v/>
      </c>
      <c r="Q47" s="15" t="str">
        <f>IF(A47="","",'Estimate lines'!O47)</f>
        <v/>
      </c>
    </row>
    <row r="48" spans="1:17" ht="25.05" customHeight="1">
      <c r="A48" s="11" t="str">
        <f>IF('Estimate lines'!$P48="","",IF('Estimate lines'!A48="","",'Estimate lines'!A48))</f>
        <v/>
      </c>
      <c r="B48" s="11" t="str">
        <f>IF('Estimate lines'!$P48="","",IF('Estimate lines'!B48="","",'Estimate lines'!B48))</f>
        <v/>
      </c>
      <c r="C48" s="11" t="str">
        <f>IF('Estimate lines'!$P48="","",IF('Estimate lines'!C48="","",'Estimate lines'!C48))</f>
        <v/>
      </c>
      <c r="D48" s="11" t="str">
        <f>IF('Estimate lines'!$P48="","",IF('Estimate lines'!D48="","",'Estimate lines'!D48))</f>
        <v/>
      </c>
      <c r="E48" s="12" t="str">
        <f>IF('Estimate lines'!$P48="","",IF('Estimate lines'!E48="","",'Estimate lines'!E48))</f>
        <v/>
      </c>
      <c r="F48" s="20" t="str">
        <f>IF('Estimate lines'!$P48="","",IF('Estimate lines'!F48="","",'Estimate lines'!F48))</f>
        <v/>
      </c>
      <c r="G48" s="15" t="str">
        <f>IF('Estimate lines'!$P48="","",IF('Estimate lines'!G48="","",'Estimate lines'!G48))</f>
        <v/>
      </c>
      <c r="H48" s="15" t="str">
        <f>IF('Estimate lines'!$P48="","",IF('Estimate lines'!H48="","",'Estimate lines'!H48))</f>
        <v/>
      </c>
      <c r="I48" s="11" t="str">
        <f>IF('Estimate lines'!$P48="","",IF('Estimate lines'!I48="","",'Estimate lines'!I48))</f>
        <v/>
      </c>
      <c r="J48" s="11" t="str">
        <f>IF('Estimate lines'!$P48="","",IF('Estimate lines'!J48="","",'Estimate lines'!J48))</f>
        <v/>
      </c>
      <c r="K48" s="16" t="str">
        <f>IF('Estimate lines'!$P48="","",IF('Estimate lines'!K48="","",'Estimate lines'!K48))</f>
        <v/>
      </c>
      <c r="L48" s="11" t="str">
        <f>IF('Estimate lines'!$P48="","",IF('Estimate lines'!L48="","",'Estimate lines'!L48))</f>
        <v/>
      </c>
      <c r="M48" s="11" t="str">
        <f>IF('Estimate lines'!$P48="","",IF('Estimate lines'!M48="","",'Estimate lines'!M48))</f>
        <v/>
      </c>
      <c r="N48" s="11" t="str">
        <f t="shared" si="2"/>
        <v/>
      </c>
      <c r="O48" s="11" t="str">
        <f t="shared" si="3"/>
        <v/>
      </c>
      <c r="P48" s="15" t="str">
        <f>IF(A48="","",'Estimate lines'!N48)</f>
        <v/>
      </c>
      <c r="Q48" s="15" t="str">
        <f>IF(A48="","",'Estimate lines'!O48)</f>
        <v/>
      </c>
    </row>
    <row r="49" spans="1:17" ht="25.05" customHeight="1">
      <c r="A49" s="11" t="str">
        <f>IF('Estimate lines'!$P49="","",IF('Estimate lines'!A49="","",'Estimate lines'!A49))</f>
        <v/>
      </c>
      <c r="B49" s="11" t="str">
        <f>IF('Estimate lines'!$P49="","",IF('Estimate lines'!B49="","",'Estimate lines'!B49))</f>
        <v/>
      </c>
      <c r="C49" s="11" t="str">
        <f>IF('Estimate lines'!$P49="","",IF('Estimate lines'!C49="","",'Estimate lines'!C49))</f>
        <v/>
      </c>
      <c r="D49" s="11" t="str">
        <f>IF('Estimate lines'!$P49="","",IF('Estimate lines'!D49="","",'Estimate lines'!D49))</f>
        <v/>
      </c>
      <c r="E49" s="12" t="str">
        <f>IF('Estimate lines'!$P49="","",IF('Estimate lines'!E49="","",'Estimate lines'!E49))</f>
        <v/>
      </c>
      <c r="F49" s="20" t="str">
        <f>IF('Estimate lines'!$P49="","",IF('Estimate lines'!F49="","",'Estimate lines'!F49))</f>
        <v/>
      </c>
      <c r="G49" s="15" t="str">
        <f>IF('Estimate lines'!$P49="","",IF('Estimate lines'!G49="","",'Estimate lines'!G49))</f>
        <v/>
      </c>
      <c r="H49" s="15" t="str">
        <f>IF('Estimate lines'!$P49="","",IF('Estimate lines'!H49="","",'Estimate lines'!H49))</f>
        <v/>
      </c>
      <c r="I49" s="11" t="str">
        <f>IF('Estimate lines'!$P49="","",IF('Estimate lines'!I49="","",'Estimate lines'!I49))</f>
        <v/>
      </c>
      <c r="J49" s="11" t="str">
        <f>IF('Estimate lines'!$P49="","",IF('Estimate lines'!J49="","",'Estimate lines'!J49))</f>
        <v/>
      </c>
      <c r="K49" s="16" t="str">
        <f>IF('Estimate lines'!$P49="","",IF('Estimate lines'!K49="","",'Estimate lines'!K49))</f>
        <v/>
      </c>
      <c r="L49" s="11" t="str">
        <f>IF('Estimate lines'!$P49="","",IF('Estimate lines'!L49="","",'Estimate lines'!L49))</f>
        <v/>
      </c>
      <c r="M49" s="11" t="str">
        <f>IF('Estimate lines'!$P49="","",IF('Estimate lines'!M49="","",'Estimate lines'!M49))</f>
        <v/>
      </c>
      <c r="N49" s="11" t="str">
        <f t="shared" si="2"/>
        <v/>
      </c>
      <c r="O49" s="11" t="str">
        <f t="shared" si="3"/>
        <v/>
      </c>
      <c r="P49" s="15" t="str">
        <f>IF(A49="","",'Estimate lines'!N49)</f>
        <v/>
      </c>
      <c r="Q49" s="15" t="str">
        <f>IF(A49="","",'Estimate lines'!O49)</f>
        <v/>
      </c>
    </row>
    <row r="50" spans="1:17" ht="25.05" customHeight="1">
      <c r="A50" s="11" t="str">
        <f>IF('Estimate lines'!$P50="","",IF('Estimate lines'!A50="","",'Estimate lines'!A50))</f>
        <v/>
      </c>
      <c r="B50" s="11" t="str">
        <f>IF('Estimate lines'!$P50="","",IF('Estimate lines'!B50="","",'Estimate lines'!B50))</f>
        <v/>
      </c>
      <c r="C50" s="11" t="str">
        <f>IF('Estimate lines'!$P50="","",IF('Estimate lines'!C50="","",'Estimate lines'!C50))</f>
        <v/>
      </c>
      <c r="D50" s="11" t="str">
        <f>IF('Estimate lines'!$P50="","",IF('Estimate lines'!D50="","",'Estimate lines'!D50))</f>
        <v/>
      </c>
      <c r="E50" s="12" t="str">
        <f>IF('Estimate lines'!$P50="","",IF('Estimate lines'!E50="","",'Estimate lines'!E50))</f>
        <v/>
      </c>
      <c r="F50" s="20" t="str">
        <f>IF('Estimate lines'!$P50="","",IF('Estimate lines'!F50="","",'Estimate lines'!F50))</f>
        <v/>
      </c>
      <c r="G50" s="15" t="str">
        <f>IF('Estimate lines'!$P50="","",IF('Estimate lines'!G50="","",'Estimate lines'!G50))</f>
        <v/>
      </c>
      <c r="H50" s="15" t="str">
        <f>IF('Estimate lines'!$P50="","",IF('Estimate lines'!H50="","",'Estimate lines'!H50))</f>
        <v/>
      </c>
      <c r="I50" s="11" t="str">
        <f>IF('Estimate lines'!$P50="","",IF('Estimate lines'!I50="","",'Estimate lines'!I50))</f>
        <v/>
      </c>
      <c r="J50" s="11" t="str">
        <f>IF('Estimate lines'!$P50="","",IF('Estimate lines'!J50="","",'Estimate lines'!J50))</f>
        <v/>
      </c>
      <c r="K50" s="16" t="str">
        <f>IF('Estimate lines'!$P50="","",IF('Estimate lines'!K50="","",'Estimate lines'!K50))</f>
        <v/>
      </c>
      <c r="L50" s="11" t="str">
        <f>IF('Estimate lines'!$P50="","",IF('Estimate lines'!L50="","",'Estimate lines'!L50))</f>
        <v/>
      </c>
      <c r="M50" s="11" t="str">
        <f>IF('Estimate lines'!$P50="","",IF('Estimate lines'!M50="","",'Estimate lines'!M50))</f>
        <v/>
      </c>
      <c r="N50" s="11" t="str">
        <f t="shared" si="2"/>
        <v/>
      </c>
      <c r="O50" s="11" t="str">
        <f t="shared" si="3"/>
        <v/>
      </c>
      <c r="P50" s="15" t="str">
        <f>IF(A50="","",'Estimate lines'!N50)</f>
        <v/>
      </c>
      <c r="Q50" s="15" t="str">
        <f>IF(A50="","",'Estimate lines'!O50)</f>
        <v/>
      </c>
    </row>
    <row r="51" spans="1:17" ht="25.05" customHeight="1">
      <c r="A51" s="11" t="str">
        <f>IF('Estimate lines'!$P51="","",IF('Estimate lines'!A51="","",'Estimate lines'!A51))</f>
        <v/>
      </c>
      <c r="B51" s="11" t="str">
        <f>IF('Estimate lines'!$P51="","",IF('Estimate lines'!B51="","",'Estimate lines'!B51))</f>
        <v/>
      </c>
      <c r="C51" s="11" t="str">
        <f>IF('Estimate lines'!$P51="","",IF('Estimate lines'!C51="","",'Estimate lines'!C51))</f>
        <v/>
      </c>
      <c r="D51" s="11" t="str">
        <f>IF('Estimate lines'!$P51="","",IF('Estimate lines'!D51="","",'Estimate lines'!D51))</f>
        <v/>
      </c>
      <c r="E51" s="12" t="str">
        <f>IF('Estimate lines'!$P51="","",IF('Estimate lines'!E51="","",'Estimate lines'!E51))</f>
        <v/>
      </c>
      <c r="F51" s="20" t="str">
        <f>IF('Estimate lines'!$P51="","",IF('Estimate lines'!F51="","",'Estimate lines'!F51))</f>
        <v/>
      </c>
      <c r="G51" s="15" t="str">
        <f>IF('Estimate lines'!$P51="","",IF('Estimate lines'!G51="","",'Estimate lines'!G51))</f>
        <v/>
      </c>
      <c r="H51" s="15" t="str">
        <f>IF('Estimate lines'!$P51="","",IF('Estimate lines'!H51="","",'Estimate lines'!H51))</f>
        <v/>
      </c>
      <c r="I51" s="11" t="str">
        <f>IF('Estimate lines'!$P51="","",IF('Estimate lines'!I51="","",'Estimate lines'!I51))</f>
        <v/>
      </c>
      <c r="J51" s="11" t="str">
        <f>IF('Estimate lines'!$P51="","",IF('Estimate lines'!J51="","",'Estimate lines'!J51))</f>
        <v/>
      </c>
      <c r="K51" s="16" t="str">
        <f>IF('Estimate lines'!$P51="","",IF('Estimate lines'!K51="","",'Estimate lines'!K51))</f>
        <v/>
      </c>
      <c r="L51" s="11" t="str">
        <f>IF('Estimate lines'!$P51="","",IF('Estimate lines'!L51="","",'Estimate lines'!L51))</f>
        <v/>
      </c>
      <c r="M51" s="11" t="str">
        <f>IF('Estimate lines'!$P51="","",IF('Estimate lines'!M51="","",'Estimate lines'!M51))</f>
        <v/>
      </c>
      <c r="N51" s="11" t="str">
        <f t="shared" si="2"/>
        <v/>
      </c>
      <c r="O51" s="11" t="str">
        <f t="shared" si="3"/>
        <v/>
      </c>
      <c r="P51" s="15" t="str">
        <f>IF(A51="","",'Estimate lines'!N51)</f>
        <v/>
      </c>
      <c r="Q51" s="15" t="str">
        <f>IF(A51="","",'Estimate lines'!O51)</f>
        <v/>
      </c>
    </row>
    <row r="52" spans="1:17" ht="25.05" customHeight="1">
      <c r="A52" s="11" t="str">
        <f>IF('Estimate lines'!$P52="","",IF('Estimate lines'!A52="","",'Estimate lines'!A52))</f>
        <v/>
      </c>
      <c r="B52" s="11" t="str">
        <f>IF('Estimate lines'!$P52="","",IF('Estimate lines'!B52="","",'Estimate lines'!B52))</f>
        <v/>
      </c>
      <c r="C52" s="11" t="str">
        <f>IF('Estimate lines'!$P52="","",IF('Estimate lines'!C52="","",'Estimate lines'!C52))</f>
        <v/>
      </c>
      <c r="D52" s="11" t="str">
        <f>IF('Estimate lines'!$P52="","",IF('Estimate lines'!D52="","",'Estimate lines'!D52))</f>
        <v/>
      </c>
      <c r="E52" s="12" t="str">
        <f>IF('Estimate lines'!$P52="","",IF('Estimate lines'!E52="","",'Estimate lines'!E52))</f>
        <v/>
      </c>
      <c r="F52" s="20" t="str">
        <f>IF('Estimate lines'!$P52="","",IF('Estimate lines'!F52="","",'Estimate lines'!F52))</f>
        <v/>
      </c>
      <c r="G52" s="15" t="str">
        <f>IF('Estimate lines'!$P52="","",IF('Estimate lines'!G52="","",'Estimate lines'!G52))</f>
        <v/>
      </c>
      <c r="H52" s="15" t="str">
        <f>IF('Estimate lines'!$P52="","",IF('Estimate lines'!H52="","",'Estimate lines'!H52))</f>
        <v/>
      </c>
      <c r="I52" s="11" t="str">
        <f>IF('Estimate lines'!$P52="","",IF('Estimate lines'!I52="","",'Estimate lines'!I52))</f>
        <v/>
      </c>
      <c r="J52" s="11" t="str">
        <f>IF('Estimate lines'!$P52="","",IF('Estimate lines'!J52="","",'Estimate lines'!J52))</f>
        <v/>
      </c>
      <c r="K52" s="16" t="str">
        <f>IF('Estimate lines'!$P52="","",IF('Estimate lines'!K52="","",'Estimate lines'!K52))</f>
        <v/>
      </c>
      <c r="L52" s="11" t="str">
        <f>IF('Estimate lines'!$P52="","",IF('Estimate lines'!L52="","",'Estimate lines'!L52))</f>
        <v/>
      </c>
      <c r="M52" s="11" t="str">
        <f>IF('Estimate lines'!$P52="","",IF('Estimate lines'!M52="","",'Estimate lines'!M52))</f>
        <v/>
      </c>
      <c r="N52" s="11" t="str">
        <f t="shared" si="2"/>
        <v/>
      </c>
      <c r="O52" s="11" t="str">
        <f t="shared" si="3"/>
        <v/>
      </c>
      <c r="P52" s="15" t="str">
        <f>IF(A52="","",'Estimate lines'!N52)</f>
        <v/>
      </c>
      <c r="Q52" s="15" t="str">
        <f>IF(A52="","",'Estimate lines'!O52)</f>
        <v/>
      </c>
    </row>
    <row r="53" spans="1:17" ht="25.05" customHeight="1">
      <c r="A53" s="11" t="str">
        <f>IF('Estimate lines'!$P53="","",IF('Estimate lines'!A53="","",'Estimate lines'!A53))</f>
        <v/>
      </c>
      <c r="B53" s="11" t="str">
        <f>IF('Estimate lines'!$P53="","",IF('Estimate lines'!B53="","",'Estimate lines'!B53))</f>
        <v/>
      </c>
      <c r="C53" s="11" t="str">
        <f>IF('Estimate lines'!$P53="","",IF('Estimate lines'!C53="","",'Estimate lines'!C53))</f>
        <v/>
      </c>
      <c r="D53" s="11" t="str">
        <f>IF('Estimate lines'!$P53="","",IF('Estimate lines'!D53="","",'Estimate lines'!D53))</f>
        <v/>
      </c>
      <c r="E53" s="12" t="str">
        <f>IF('Estimate lines'!$P53="","",IF('Estimate lines'!E53="","",'Estimate lines'!E53))</f>
        <v/>
      </c>
      <c r="F53" s="20" t="str">
        <f>IF('Estimate lines'!$P53="","",IF('Estimate lines'!F53="","",'Estimate lines'!F53))</f>
        <v/>
      </c>
      <c r="G53" s="15" t="str">
        <f>IF('Estimate lines'!$P53="","",IF('Estimate lines'!G53="","",'Estimate lines'!G53))</f>
        <v/>
      </c>
      <c r="H53" s="15" t="str">
        <f>IF('Estimate lines'!$P53="","",IF('Estimate lines'!H53="","",'Estimate lines'!H53))</f>
        <v/>
      </c>
      <c r="I53" s="11" t="str">
        <f>IF('Estimate lines'!$P53="","",IF('Estimate lines'!I53="","",'Estimate lines'!I53))</f>
        <v/>
      </c>
      <c r="J53" s="11" t="str">
        <f>IF('Estimate lines'!$P53="","",IF('Estimate lines'!J53="","",'Estimate lines'!J53))</f>
        <v/>
      </c>
      <c r="K53" s="16" t="str">
        <f>IF('Estimate lines'!$P53="","",IF('Estimate lines'!K53="","",'Estimate lines'!K53))</f>
        <v/>
      </c>
      <c r="L53" s="11" t="str">
        <f>IF('Estimate lines'!$P53="","",IF('Estimate lines'!L53="","",'Estimate lines'!L53))</f>
        <v/>
      </c>
      <c r="M53" s="11" t="str">
        <f>IF('Estimate lines'!$P53="","",IF('Estimate lines'!M53="","",'Estimate lines'!M53))</f>
        <v/>
      </c>
      <c r="N53" s="11" t="str">
        <f t="shared" si="2"/>
        <v/>
      </c>
      <c r="O53" s="11" t="str">
        <f t="shared" si="3"/>
        <v/>
      </c>
      <c r="P53" s="15" t="str">
        <f>IF(A53="","",'Estimate lines'!N53)</f>
        <v/>
      </c>
      <c r="Q53" s="15" t="str">
        <f>IF(A53="","",'Estimate lines'!O53)</f>
        <v/>
      </c>
    </row>
    <row r="54" spans="1:17" ht="25.05" customHeight="1">
      <c r="A54" s="11" t="str">
        <f>IF('Estimate lines'!$P54="","",IF('Estimate lines'!A54="","",'Estimate lines'!A54))</f>
        <v/>
      </c>
      <c r="B54" s="11" t="str">
        <f>IF('Estimate lines'!$P54="","",IF('Estimate lines'!B54="","",'Estimate lines'!B54))</f>
        <v/>
      </c>
      <c r="C54" s="11" t="str">
        <f>IF('Estimate lines'!$P54="","",IF('Estimate lines'!C54="","",'Estimate lines'!C54))</f>
        <v/>
      </c>
      <c r="D54" s="11" t="str">
        <f>IF('Estimate lines'!$P54="","",IF('Estimate lines'!D54="","",'Estimate lines'!D54))</f>
        <v/>
      </c>
      <c r="E54" s="12" t="str">
        <f>IF('Estimate lines'!$P54="","",IF('Estimate lines'!E54="","",'Estimate lines'!E54))</f>
        <v/>
      </c>
      <c r="F54" s="20" t="str">
        <f>IF('Estimate lines'!$P54="","",IF('Estimate lines'!F54="","",'Estimate lines'!F54))</f>
        <v/>
      </c>
      <c r="G54" s="15" t="str">
        <f>IF('Estimate lines'!$P54="","",IF('Estimate lines'!G54="","",'Estimate lines'!G54))</f>
        <v/>
      </c>
      <c r="H54" s="15" t="str">
        <f>IF('Estimate lines'!$P54="","",IF('Estimate lines'!H54="","",'Estimate lines'!H54))</f>
        <v/>
      </c>
      <c r="I54" s="11" t="str">
        <f>IF('Estimate lines'!$P54="","",IF('Estimate lines'!I54="","",'Estimate lines'!I54))</f>
        <v/>
      </c>
      <c r="J54" s="11" t="str">
        <f>IF('Estimate lines'!$P54="","",IF('Estimate lines'!J54="","",'Estimate lines'!J54))</f>
        <v/>
      </c>
      <c r="K54" s="16" t="str">
        <f>IF('Estimate lines'!$P54="","",IF('Estimate lines'!K54="","",'Estimate lines'!K54))</f>
        <v/>
      </c>
      <c r="L54" s="11" t="str">
        <f>IF('Estimate lines'!$P54="","",IF('Estimate lines'!L54="","",'Estimate lines'!L54))</f>
        <v/>
      </c>
      <c r="M54" s="11" t="str">
        <f>IF('Estimate lines'!$P54="","",IF('Estimate lines'!M54="","",'Estimate lines'!M54))</f>
        <v/>
      </c>
      <c r="N54" s="11" t="str">
        <f t="shared" si="2"/>
        <v/>
      </c>
      <c r="O54" s="11" t="str">
        <f t="shared" si="3"/>
        <v/>
      </c>
      <c r="P54" s="15" t="str">
        <f>IF(A54="","",'Estimate lines'!N54)</f>
        <v/>
      </c>
      <c r="Q54" s="15" t="str">
        <f>IF(A54="","",'Estimate lines'!O54)</f>
        <v/>
      </c>
    </row>
    <row r="55" spans="1:17" ht="25.05" customHeight="1">
      <c r="A55" s="11" t="str">
        <f>IF('Estimate lines'!$P55="","",IF('Estimate lines'!A55="","",'Estimate lines'!A55))</f>
        <v/>
      </c>
      <c r="B55" s="11" t="str">
        <f>IF('Estimate lines'!$P55="","",IF('Estimate lines'!B55="","",'Estimate lines'!B55))</f>
        <v/>
      </c>
      <c r="C55" s="11" t="str">
        <f>IF('Estimate lines'!$P55="","",IF('Estimate lines'!C55="","",'Estimate lines'!C55))</f>
        <v/>
      </c>
      <c r="D55" s="11" t="str">
        <f>IF('Estimate lines'!$P55="","",IF('Estimate lines'!D55="","",'Estimate lines'!D55))</f>
        <v/>
      </c>
      <c r="E55" s="12" t="str">
        <f>IF('Estimate lines'!$P55="","",IF('Estimate lines'!E55="","",'Estimate lines'!E55))</f>
        <v/>
      </c>
      <c r="F55" s="20" t="str">
        <f>IF('Estimate lines'!$P55="","",IF('Estimate lines'!F55="","",'Estimate lines'!F55))</f>
        <v/>
      </c>
      <c r="G55" s="15" t="str">
        <f>IF('Estimate lines'!$P55="","",IF('Estimate lines'!G55="","",'Estimate lines'!G55))</f>
        <v/>
      </c>
      <c r="H55" s="15" t="str">
        <f>IF('Estimate lines'!$P55="","",IF('Estimate lines'!H55="","",'Estimate lines'!H55))</f>
        <v/>
      </c>
      <c r="I55" s="11" t="str">
        <f>IF('Estimate lines'!$P55="","",IF('Estimate lines'!I55="","",'Estimate lines'!I55))</f>
        <v/>
      </c>
      <c r="J55" s="11" t="str">
        <f>IF('Estimate lines'!$P55="","",IF('Estimate lines'!J55="","",'Estimate lines'!J55))</f>
        <v/>
      </c>
      <c r="K55" s="16" t="str">
        <f>IF('Estimate lines'!$P55="","",IF('Estimate lines'!K55="","",'Estimate lines'!K55))</f>
        <v/>
      </c>
      <c r="L55" s="11" t="str">
        <f>IF('Estimate lines'!$P55="","",IF('Estimate lines'!L55="","",'Estimate lines'!L55))</f>
        <v/>
      </c>
      <c r="M55" s="11" t="str">
        <f>IF('Estimate lines'!$P55="","",IF('Estimate lines'!M55="","",'Estimate lines'!M55))</f>
        <v/>
      </c>
      <c r="N55" s="11" t="str">
        <f t="shared" si="2"/>
        <v/>
      </c>
      <c r="O55" s="11" t="str">
        <f t="shared" si="3"/>
        <v/>
      </c>
      <c r="P55" s="15" t="str">
        <f>IF(A55="","",'Estimate lines'!N55)</f>
        <v/>
      </c>
      <c r="Q55" s="15" t="str">
        <f>IF(A55="","",'Estimate lines'!O55)</f>
        <v/>
      </c>
    </row>
    <row r="56" spans="1:17" ht="25.05" customHeight="1">
      <c r="A56" s="11" t="str">
        <f>IF('Estimate lines'!$P56="","",IF('Estimate lines'!A56="","",'Estimate lines'!A56))</f>
        <v/>
      </c>
      <c r="B56" s="11" t="str">
        <f>IF('Estimate lines'!$P56="","",IF('Estimate lines'!B56="","",'Estimate lines'!B56))</f>
        <v/>
      </c>
      <c r="C56" s="11" t="str">
        <f>IF('Estimate lines'!$P56="","",IF('Estimate lines'!C56="","",'Estimate lines'!C56))</f>
        <v/>
      </c>
      <c r="D56" s="11" t="str">
        <f>IF('Estimate lines'!$P56="","",IF('Estimate lines'!D56="","",'Estimate lines'!D56))</f>
        <v/>
      </c>
      <c r="E56" s="12" t="str">
        <f>IF('Estimate lines'!$P56="","",IF('Estimate lines'!E56="","",'Estimate lines'!E56))</f>
        <v/>
      </c>
      <c r="F56" s="20" t="str">
        <f>IF('Estimate lines'!$P56="","",IF('Estimate lines'!F56="","",'Estimate lines'!F56))</f>
        <v/>
      </c>
      <c r="G56" s="15" t="str">
        <f>IF('Estimate lines'!$P56="","",IF('Estimate lines'!G56="","",'Estimate lines'!G56))</f>
        <v/>
      </c>
      <c r="H56" s="15" t="str">
        <f>IF('Estimate lines'!$P56="","",IF('Estimate lines'!H56="","",'Estimate lines'!H56))</f>
        <v/>
      </c>
      <c r="I56" s="11" t="str">
        <f>IF('Estimate lines'!$P56="","",IF('Estimate lines'!I56="","",'Estimate lines'!I56))</f>
        <v/>
      </c>
      <c r="J56" s="11" t="str">
        <f>IF('Estimate lines'!$P56="","",IF('Estimate lines'!J56="","",'Estimate lines'!J56))</f>
        <v/>
      </c>
      <c r="K56" s="16" t="str">
        <f>IF('Estimate lines'!$P56="","",IF('Estimate lines'!K56="","",'Estimate lines'!K56))</f>
        <v/>
      </c>
      <c r="L56" s="11" t="str">
        <f>IF('Estimate lines'!$P56="","",IF('Estimate lines'!L56="","",'Estimate lines'!L56))</f>
        <v/>
      </c>
      <c r="M56" s="11" t="str">
        <f>IF('Estimate lines'!$P56="","",IF('Estimate lines'!M56="","",'Estimate lines'!M56))</f>
        <v/>
      </c>
      <c r="N56" s="11" t="str">
        <f t="shared" si="2"/>
        <v/>
      </c>
      <c r="O56" s="11" t="str">
        <f t="shared" si="3"/>
        <v/>
      </c>
      <c r="P56" s="15" t="str">
        <f>IF(A56="","",'Estimate lines'!N56)</f>
        <v/>
      </c>
      <c r="Q56" s="15" t="str">
        <f>IF(A56="","",'Estimate lines'!O56)</f>
        <v/>
      </c>
    </row>
    <row r="57" spans="1:17" ht="25.05" customHeight="1">
      <c r="A57" s="11" t="str">
        <f>IF('Estimate lines'!$P57="","",IF('Estimate lines'!A57="","",'Estimate lines'!A57))</f>
        <v/>
      </c>
      <c r="B57" s="11" t="str">
        <f>IF('Estimate lines'!$P57="","",IF('Estimate lines'!B57="","",'Estimate lines'!B57))</f>
        <v/>
      </c>
      <c r="C57" s="11" t="str">
        <f>IF('Estimate lines'!$P57="","",IF('Estimate lines'!C57="","",'Estimate lines'!C57))</f>
        <v/>
      </c>
      <c r="D57" s="11" t="str">
        <f>IF('Estimate lines'!$P57="","",IF('Estimate lines'!D57="","",'Estimate lines'!D57))</f>
        <v/>
      </c>
      <c r="E57" s="12" t="str">
        <f>IF('Estimate lines'!$P57="","",IF('Estimate lines'!E57="","",'Estimate lines'!E57))</f>
        <v/>
      </c>
      <c r="F57" s="20" t="str">
        <f>IF('Estimate lines'!$P57="","",IF('Estimate lines'!F57="","",'Estimate lines'!F57))</f>
        <v/>
      </c>
      <c r="G57" s="15" t="str">
        <f>IF('Estimate lines'!$P57="","",IF('Estimate lines'!G57="","",'Estimate lines'!G57))</f>
        <v/>
      </c>
      <c r="H57" s="15" t="str">
        <f>IF('Estimate lines'!$P57="","",IF('Estimate lines'!H57="","",'Estimate lines'!H57))</f>
        <v/>
      </c>
      <c r="I57" s="11" t="str">
        <f>IF('Estimate lines'!$P57="","",IF('Estimate lines'!I57="","",'Estimate lines'!I57))</f>
        <v/>
      </c>
      <c r="J57" s="11" t="str">
        <f>IF('Estimate lines'!$P57="","",IF('Estimate lines'!J57="","",'Estimate lines'!J57))</f>
        <v/>
      </c>
      <c r="K57" s="16" t="str">
        <f>IF('Estimate lines'!$P57="","",IF('Estimate lines'!K57="","",'Estimate lines'!K57))</f>
        <v/>
      </c>
      <c r="L57" s="11" t="str">
        <f>IF('Estimate lines'!$P57="","",IF('Estimate lines'!L57="","",'Estimate lines'!L57))</f>
        <v/>
      </c>
      <c r="M57" s="11" t="str">
        <f>IF('Estimate lines'!$P57="","",IF('Estimate lines'!M57="","",'Estimate lines'!M57))</f>
        <v/>
      </c>
      <c r="N57" s="11" t="str">
        <f t="shared" si="2"/>
        <v/>
      </c>
      <c r="O57" s="11" t="str">
        <f t="shared" si="3"/>
        <v/>
      </c>
      <c r="P57" s="15" t="str">
        <f>IF(A57="","",'Estimate lines'!N57)</f>
        <v/>
      </c>
      <c r="Q57" s="15" t="str">
        <f>IF(A57="","",'Estimate lines'!O57)</f>
        <v/>
      </c>
    </row>
    <row r="58" spans="1:17" ht="25.05" customHeight="1">
      <c r="A58" s="11" t="str">
        <f>IF('Estimate lines'!$P58="","",IF('Estimate lines'!A58="","",'Estimate lines'!A58))</f>
        <v/>
      </c>
      <c r="B58" s="11" t="str">
        <f>IF('Estimate lines'!$P58="","",IF('Estimate lines'!B58="","",'Estimate lines'!B58))</f>
        <v/>
      </c>
      <c r="C58" s="11" t="str">
        <f>IF('Estimate lines'!$P58="","",IF('Estimate lines'!C58="","",'Estimate lines'!C58))</f>
        <v/>
      </c>
      <c r="D58" s="11" t="str">
        <f>IF('Estimate lines'!$P58="","",IF('Estimate lines'!D58="","",'Estimate lines'!D58))</f>
        <v/>
      </c>
      <c r="E58" s="12" t="str">
        <f>IF('Estimate lines'!$P58="","",IF('Estimate lines'!E58="","",'Estimate lines'!E58))</f>
        <v/>
      </c>
      <c r="F58" s="20" t="str">
        <f>IF('Estimate lines'!$P58="","",IF('Estimate lines'!F58="","",'Estimate lines'!F58))</f>
        <v/>
      </c>
      <c r="G58" s="15" t="str">
        <f>IF('Estimate lines'!$P58="","",IF('Estimate lines'!G58="","",'Estimate lines'!G58))</f>
        <v/>
      </c>
      <c r="H58" s="15" t="str">
        <f>IF('Estimate lines'!$P58="","",IF('Estimate lines'!H58="","",'Estimate lines'!H58))</f>
        <v/>
      </c>
      <c r="I58" s="11" t="str">
        <f>IF('Estimate lines'!$P58="","",IF('Estimate lines'!I58="","",'Estimate lines'!I58))</f>
        <v/>
      </c>
      <c r="J58" s="11" t="str">
        <f>IF('Estimate lines'!$P58="","",IF('Estimate lines'!J58="","",'Estimate lines'!J58))</f>
        <v/>
      </c>
      <c r="K58" s="16" t="str">
        <f>IF('Estimate lines'!$P58="","",IF('Estimate lines'!K58="","",'Estimate lines'!K58))</f>
        <v/>
      </c>
      <c r="L58" s="11" t="str">
        <f>IF('Estimate lines'!$P58="","",IF('Estimate lines'!L58="","",'Estimate lines'!L58))</f>
        <v/>
      </c>
      <c r="M58" s="11" t="str">
        <f>IF('Estimate lines'!$P58="","",IF('Estimate lines'!M58="","",'Estimate lines'!M58))</f>
        <v/>
      </c>
      <c r="N58" s="11" t="str">
        <f t="shared" si="2"/>
        <v/>
      </c>
      <c r="O58" s="11" t="str">
        <f t="shared" si="3"/>
        <v/>
      </c>
      <c r="P58" s="15" t="str">
        <f>IF(A58="","",'Estimate lines'!N58)</f>
        <v/>
      </c>
      <c r="Q58" s="15" t="str">
        <f>IF(A58="","",'Estimate lines'!O58)</f>
        <v/>
      </c>
    </row>
    <row r="59" spans="1:17" ht="25.05" customHeight="1">
      <c r="A59" s="11" t="str">
        <f>IF('Estimate lines'!$P59="","",IF('Estimate lines'!A59="","",'Estimate lines'!A59))</f>
        <v/>
      </c>
      <c r="B59" s="11" t="str">
        <f>IF('Estimate lines'!$P59="","",IF('Estimate lines'!B59="","",'Estimate lines'!B59))</f>
        <v/>
      </c>
      <c r="C59" s="11" t="str">
        <f>IF('Estimate lines'!$P59="","",IF('Estimate lines'!C59="","",'Estimate lines'!C59))</f>
        <v/>
      </c>
      <c r="D59" s="11" t="str">
        <f>IF('Estimate lines'!$P59="","",IF('Estimate lines'!D59="","",'Estimate lines'!D59))</f>
        <v/>
      </c>
      <c r="E59" s="12" t="str">
        <f>IF('Estimate lines'!$P59="","",IF('Estimate lines'!E59="","",'Estimate lines'!E59))</f>
        <v/>
      </c>
      <c r="F59" s="20" t="str">
        <f>IF('Estimate lines'!$P59="","",IF('Estimate lines'!F59="","",'Estimate lines'!F59))</f>
        <v/>
      </c>
      <c r="G59" s="15" t="str">
        <f>IF('Estimate lines'!$P59="","",IF('Estimate lines'!G59="","",'Estimate lines'!G59))</f>
        <v/>
      </c>
      <c r="H59" s="15" t="str">
        <f>IF('Estimate lines'!$P59="","",IF('Estimate lines'!H59="","",'Estimate lines'!H59))</f>
        <v/>
      </c>
      <c r="I59" s="11" t="str">
        <f>IF('Estimate lines'!$P59="","",IF('Estimate lines'!I59="","",'Estimate lines'!I59))</f>
        <v/>
      </c>
      <c r="J59" s="11" t="str">
        <f>IF('Estimate lines'!$P59="","",IF('Estimate lines'!J59="","",'Estimate lines'!J59))</f>
        <v/>
      </c>
      <c r="K59" s="16" t="str">
        <f>IF('Estimate lines'!$P59="","",IF('Estimate lines'!K59="","",'Estimate lines'!K59))</f>
        <v/>
      </c>
      <c r="L59" s="11" t="str">
        <f>IF('Estimate lines'!$P59="","",IF('Estimate lines'!L59="","",'Estimate lines'!L59))</f>
        <v/>
      </c>
      <c r="M59" s="11" t="str">
        <f>IF('Estimate lines'!$P59="","",IF('Estimate lines'!M59="","",'Estimate lines'!M59))</f>
        <v/>
      </c>
      <c r="N59" s="11" t="str">
        <f t="shared" si="2"/>
        <v/>
      </c>
      <c r="O59" s="11" t="str">
        <f t="shared" si="3"/>
        <v/>
      </c>
      <c r="P59" s="15" t="str">
        <f>IF(A59="","",'Estimate lines'!N59)</f>
        <v/>
      </c>
      <c r="Q59" s="15" t="str">
        <f>IF(A59="","",'Estimate lines'!O59)</f>
        <v/>
      </c>
    </row>
    <row r="60" spans="1:17" ht="25.05" customHeight="1">
      <c r="A60" s="11" t="str">
        <f>IF('Estimate lines'!$P60="","",IF('Estimate lines'!A60="","",'Estimate lines'!A60))</f>
        <v/>
      </c>
      <c r="B60" s="11" t="str">
        <f>IF('Estimate lines'!$P60="","",IF('Estimate lines'!B60="","",'Estimate lines'!B60))</f>
        <v/>
      </c>
      <c r="C60" s="11" t="str">
        <f>IF('Estimate lines'!$P60="","",IF('Estimate lines'!C60="","",'Estimate lines'!C60))</f>
        <v/>
      </c>
      <c r="D60" s="11" t="str">
        <f>IF('Estimate lines'!$P60="","",IF('Estimate lines'!D60="","",'Estimate lines'!D60))</f>
        <v/>
      </c>
      <c r="E60" s="12" t="str">
        <f>IF('Estimate lines'!$P60="","",IF('Estimate lines'!E60="","",'Estimate lines'!E60))</f>
        <v/>
      </c>
      <c r="F60" s="20" t="str">
        <f>IF('Estimate lines'!$P60="","",IF('Estimate lines'!F60="","",'Estimate lines'!F60))</f>
        <v/>
      </c>
      <c r="G60" s="15" t="str">
        <f>IF('Estimate lines'!$P60="","",IF('Estimate lines'!G60="","",'Estimate lines'!G60))</f>
        <v/>
      </c>
      <c r="H60" s="15" t="str">
        <f>IF('Estimate lines'!$P60="","",IF('Estimate lines'!H60="","",'Estimate lines'!H60))</f>
        <v/>
      </c>
      <c r="I60" s="11" t="str">
        <f>IF('Estimate lines'!$P60="","",IF('Estimate lines'!I60="","",'Estimate lines'!I60))</f>
        <v/>
      </c>
      <c r="J60" s="11" t="str">
        <f>IF('Estimate lines'!$P60="","",IF('Estimate lines'!J60="","",'Estimate lines'!J60))</f>
        <v/>
      </c>
      <c r="K60" s="16" t="str">
        <f>IF('Estimate lines'!$P60="","",IF('Estimate lines'!K60="","",'Estimate lines'!K60))</f>
        <v/>
      </c>
      <c r="L60" s="11" t="str">
        <f>IF('Estimate lines'!$P60="","",IF('Estimate lines'!L60="","",'Estimate lines'!L60))</f>
        <v/>
      </c>
      <c r="M60" s="11" t="str">
        <f>IF('Estimate lines'!$P60="","",IF('Estimate lines'!M60="","",'Estimate lines'!M60))</f>
        <v/>
      </c>
      <c r="N60" s="11" t="str">
        <f t="shared" si="2"/>
        <v/>
      </c>
      <c r="O60" s="11" t="str">
        <f t="shared" si="3"/>
        <v/>
      </c>
      <c r="P60" s="15" t="str">
        <f>IF(A60="","",'Estimate lines'!N60)</f>
        <v/>
      </c>
      <c r="Q60" s="15" t="str">
        <f>IF(A60="","",'Estimate lines'!O60)</f>
        <v/>
      </c>
    </row>
    <row r="61" spans="1:17" ht="25.05" customHeight="1">
      <c r="A61" s="11" t="str">
        <f>IF('Estimate lines'!$P61="","",IF('Estimate lines'!A61="","",'Estimate lines'!A61))</f>
        <v/>
      </c>
      <c r="B61" s="11" t="str">
        <f>IF('Estimate lines'!$P61="","",IF('Estimate lines'!B61="","",'Estimate lines'!B61))</f>
        <v/>
      </c>
      <c r="C61" s="11" t="str">
        <f>IF('Estimate lines'!$P61="","",IF('Estimate lines'!C61="","",'Estimate lines'!C61))</f>
        <v/>
      </c>
      <c r="D61" s="11" t="str">
        <f>IF('Estimate lines'!$P61="","",IF('Estimate lines'!D61="","",'Estimate lines'!D61))</f>
        <v/>
      </c>
      <c r="E61" s="12" t="str">
        <f>IF('Estimate lines'!$P61="","",IF('Estimate lines'!E61="","",'Estimate lines'!E61))</f>
        <v/>
      </c>
      <c r="F61" s="20" t="str">
        <f>IF('Estimate lines'!$P61="","",IF('Estimate lines'!F61="","",'Estimate lines'!F61))</f>
        <v/>
      </c>
      <c r="G61" s="15" t="str">
        <f>IF('Estimate lines'!$P61="","",IF('Estimate lines'!G61="","",'Estimate lines'!G61))</f>
        <v/>
      </c>
      <c r="H61" s="15" t="str">
        <f>IF('Estimate lines'!$P61="","",IF('Estimate lines'!H61="","",'Estimate lines'!H61))</f>
        <v/>
      </c>
      <c r="I61" s="11" t="str">
        <f>IF('Estimate lines'!$P61="","",IF('Estimate lines'!I61="","",'Estimate lines'!I61))</f>
        <v/>
      </c>
      <c r="J61" s="11" t="str">
        <f>IF('Estimate lines'!$P61="","",IF('Estimate lines'!J61="","",'Estimate lines'!J61))</f>
        <v/>
      </c>
      <c r="K61" s="16" t="str">
        <f>IF('Estimate lines'!$P61="","",IF('Estimate lines'!K61="","",'Estimate lines'!K61))</f>
        <v/>
      </c>
      <c r="L61" s="11" t="str">
        <f>IF('Estimate lines'!$P61="","",IF('Estimate lines'!L61="","",'Estimate lines'!L61))</f>
        <v/>
      </c>
      <c r="M61" s="11" t="str">
        <f>IF('Estimate lines'!$P61="","",IF('Estimate lines'!M61="","",'Estimate lines'!M61))</f>
        <v/>
      </c>
      <c r="N61" s="11" t="str">
        <f t="shared" si="2"/>
        <v/>
      </c>
      <c r="O61" s="11" t="str">
        <f t="shared" si="3"/>
        <v/>
      </c>
      <c r="P61" s="15" t="str">
        <f>IF(A61="","",'Estimate lines'!N61)</f>
        <v/>
      </c>
      <c r="Q61" s="15" t="str">
        <f>IF(A61="","",'Estimate lines'!O61)</f>
        <v/>
      </c>
    </row>
    <row r="62" spans="1:17" ht="25.05" customHeight="1">
      <c r="A62" s="11" t="str">
        <f>IF('Estimate lines'!$P62="","",IF('Estimate lines'!A62="","",'Estimate lines'!A62))</f>
        <v/>
      </c>
      <c r="B62" s="11" t="str">
        <f>IF('Estimate lines'!$P62="","",IF('Estimate lines'!B62="","",'Estimate lines'!B62))</f>
        <v/>
      </c>
      <c r="C62" s="11" t="str">
        <f>IF('Estimate lines'!$P62="","",IF('Estimate lines'!C62="","",'Estimate lines'!C62))</f>
        <v/>
      </c>
      <c r="D62" s="11" t="str">
        <f>IF('Estimate lines'!$P62="","",IF('Estimate lines'!D62="","",'Estimate lines'!D62))</f>
        <v/>
      </c>
      <c r="E62" s="12" t="str">
        <f>IF('Estimate lines'!$P62="","",IF('Estimate lines'!E62="","",'Estimate lines'!E62))</f>
        <v/>
      </c>
      <c r="F62" s="20" t="str">
        <f>IF('Estimate lines'!$P62="","",IF('Estimate lines'!F62="","",'Estimate lines'!F62))</f>
        <v/>
      </c>
      <c r="G62" s="15" t="str">
        <f>IF('Estimate lines'!$P62="","",IF('Estimate lines'!G62="","",'Estimate lines'!G62))</f>
        <v/>
      </c>
      <c r="H62" s="15" t="str">
        <f>IF('Estimate lines'!$P62="","",IF('Estimate lines'!H62="","",'Estimate lines'!H62))</f>
        <v/>
      </c>
      <c r="I62" s="11" t="str">
        <f>IF('Estimate lines'!$P62="","",IF('Estimate lines'!I62="","",'Estimate lines'!I62))</f>
        <v/>
      </c>
      <c r="J62" s="11" t="str">
        <f>IF('Estimate lines'!$P62="","",IF('Estimate lines'!J62="","",'Estimate lines'!J62))</f>
        <v/>
      </c>
      <c r="K62" s="16" t="str">
        <f>IF('Estimate lines'!$P62="","",IF('Estimate lines'!K62="","",'Estimate lines'!K62))</f>
        <v/>
      </c>
      <c r="L62" s="11" t="str">
        <f>IF('Estimate lines'!$P62="","",IF('Estimate lines'!L62="","",'Estimate lines'!L62))</f>
        <v/>
      </c>
      <c r="M62" s="11" t="str">
        <f>IF('Estimate lines'!$P62="","",IF('Estimate lines'!M62="","",'Estimate lines'!M62))</f>
        <v/>
      </c>
      <c r="N62" s="11" t="str">
        <f t="shared" si="2"/>
        <v/>
      </c>
      <c r="O62" s="11" t="str">
        <f t="shared" si="3"/>
        <v/>
      </c>
      <c r="P62" s="15" t="str">
        <f>IF(A62="","",'Estimate lines'!N62)</f>
        <v/>
      </c>
      <c r="Q62" s="15" t="str">
        <f>IF(A62="","",'Estimate lines'!O62)</f>
        <v/>
      </c>
    </row>
    <row r="63" spans="1:17" ht="25.05" customHeight="1">
      <c r="A63" s="11" t="str">
        <f>IF('Estimate lines'!$P63="","",IF('Estimate lines'!A63="","",'Estimate lines'!A63))</f>
        <v/>
      </c>
      <c r="B63" s="11" t="str">
        <f>IF('Estimate lines'!$P63="","",IF('Estimate lines'!B63="","",'Estimate lines'!B63))</f>
        <v/>
      </c>
      <c r="C63" s="11" t="str">
        <f>IF('Estimate lines'!$P63="","",IF('Estimate lines'!C63="","",'Estimate lines'!C63))</f>
        <v/>
      </c>
      <c r="D63" s="11" t="str">
        <f>IF('Estimate lines'!$P63="","",IF('Estimate lines'!D63="","",'Estimate lines'!D63))</f>
        <v/>
      </c>
      <c r="E63" s="12" t="str">
        <f>IF('Estimate lines'!$P63="","",IF('Estimate lines'!E63="","",'Estimate lines'!E63))</f>
        <v/>
      </c>
      <c r="F63" s="20" t="str">
        <f>IF('Estimate lines'!$P63="","",IF('Estimate lines'!F63="","",'Estimate lines'!F63))</f>
        <v/>
      </c>
      <c r="G63" s="15" t="str">
        <f>IF('Estimate lines'!$P63="","",IF('Estimate lines'!G63="","",'Estimate lines'!G63))</f>
        <v/>
      </c>
      <c r="H63" s="15" t="str">
        <f>IF('Estimate lines'!$P63="","",IF('Estimate lines'!H63="","",'Estimate lines'!H63))</f>
        <v/>
      </c>
      <c r="I63" s="11" t="str">
        <f>IF('Estimate lines'!$P63="","",IF('Estimate lines'!I63="","",'Estimate lines'!I63))</f>
        <v/>
      </c>
      <c r="J63" s="11" t="str">
        <f>IF('Estimate lines'!$P63="","",IF('Estimate lines'!J63="","",'Estimate lines'!J63))</f>
        <v/>
      </c>
      <c r="K63" s="16" t="str">
        <f>IF('Estimate lines'!$P63="","",IF('Estimate lines'!K63="","",'Estimate lines'!K63))</f>
        <v/>
      </c>
      <c r="L63" s="11" t="str">
        <f>IF('Estimate lines'!$P63="","",IF('Estimate lines'!L63="","",'Estimate lines'!L63))</f>
        <v/>
      </c>
      <c r="M63" s="11" t="str">
        <f>IF('Estimate lines'!$P63="","",IF('Estimate lines'!M63="","",'Estimate lines'!M63))</f>
        <v/>
      </c>
      <c r="N63" s="11" t="str">
        <f t="shared" si="2"/>
        <v/>
      </c>
      <c r="O63" s="11" t="str">
        <f t="shared" si="3"/>
        <v/>
      </c>
      <c r="P63" s="15" t="str">
        <f>IF(A63="","",'Estimate lines'!N63)</f>
        <v/>
      </c>
      <c r="Q63" s="15" t="str">
        <f>IF(A63="","",'Estimate lines'!O63)</f>
        <v/>
      </c>
    </row>
    <row r="64" spans="1:17" ht="25.05" customHeight="1">
      <c r="A64" s="11" t="str">
        <f>IF('Estimate lines'!$P64="","",IF('Estimate lines'!A64="","",'Estimate lines'!A64))</f>
        <v/>
      </c>
      <c r="B64" s="11" t="str">
        <f>IF('Estimate lines'!$P64="","",IF('Estimate lines'!B64="","",'Estimate lines'!B64))</f>
        <v/>
      </c>
      <c r="C64" s="11" t="str">
        <f>IF('Estimate lines'!$P64="","",IF('Estimate lines'!C64="","",'Estimate lines'!C64))</f>
        <v/>
      </c>
      <c r="D64" s="11" t="str">
        <f>IF('Estimate lines'!$P64="","",IF('Estimate lines'!D64="","",'Estimate lines'!D64))</f>
        <v/>
      </c>
      <c r="E64" s="12" t="str">
        <f>IF('Estimate lines'!$P64="","",IF('Estimate lines'!E64="","",'Estimate lines'!E64))</f>
        <v/>
      </c>
      <c r="F64" s="20" t="str">
        <f>IF('Estimate lines'!$P64="","",IF('Estimate lines'!F64="","",'Estimate lines'!F64))</f>
        <v/>
      </c>
      <c r="G64" s="15" t="str">
        <f>IF('Estimate lines'!$P64="","",IF('Estimate lines'!G64="","",'Estimate lines'!G64))</f>
        <v/>
      </c>
      <c r="H64" s="15" t="str">
        <f>IF('Estimate lines'!$P64="","",IF('Estimate lines'!H64="","",'Estimate lines'!H64))</f>
        <v/>
      </c>
      <c r="I64" s="11" t="str">
        <f>IF('Estimate lines'!$P64="","",IF('Estimate lines'!I64="","",'Estimate lines'!I64))</f>
        <v/>
      </c>
      <c r="J64" s="11" t="str">
        <f>IF('Estimate lines'!$P64="","",IF('Estimate lines'!J64="","",'Estimate lines'!J64))</f>
        <v/>
      </c>
      <c r="K64" s="16" t="str">
        <f>IF('Estimate lines'!$P64="","",IF('Estimate lines'!K64="","",'Estimate lines'!K64))</f>
        <v/>
      </c>
      <c r="L64" s="11" t="str">
        <f>IF('Estimate lines'!$P64="","",IF('Estimate lines'!L64="","",'Estimate lines'!L64))</f>
        <v/>
      </c>
      <c r="M64" s="11" t="str">
        <f>IF('Estimate lines'!$P64="","",IF('Estimate lines'!M64="","",'Estimate lines'!M64))</f>
        <v/>
      </c>
      <c r="N64" s="11" t="str">
        <f t="shared" si="2"/>
        <v/>
      </c>
      <c r="O64" s="11" t="str">
        <f t="shared" si="3"/>
        <v/>
      </c>
      <c r="P64" s="15" t="str">
        <f>IF(A64="","",'Estimate lines'!N64)</f>
        <v/>
      </c>
      <c r="Q64" s="15" t="str">
        <f>IF(A64="","",'Estimate lines'!O64)</f>
        <v/>
      </c>
    </row>
    <row r="65" spans="1:17" ht="25.05" customHeight="1">
      <c r="A65" s="11" t="str">
        <f>IF('Estimate lines'!$P65="","",IF('Estimate lines'!A65="","",'Estimate lines'!A65))</f>
        <v/>
      </c>
      <c r="B65" s="11" t="str">
        <f>IF('Estimate lines'!$P65="","",IF('Estimate lines'!B65="","",'Estimate lines'!B65))</f>
        <v/>
      </c>
      <c r="C65" s="11" t="str">
        <f>IF('Estimate lines'!$P65="","",IF('Estimate lines'!C65="","",'Estimate lines'!C65))</f>
        <v/>
      </c>
      <c r="D65" s="11" t="str">
        <f>IF('Estimate lines'!$P65="","",IF('Estimate lines'!D65="","",'Estimate lines'!D65))</f>
        <v/>
      </c>
      <c r="E65" s="12" t="str">
        <f>IF('Estimate lines'!$P65="","",IF('Estimate lines'!E65="","",'Estimate lines'!E65))</f>
        <v/>
      </c>
      <c r="F65" s="20" t="str">
        <f>IF('Estimate lines'!$P65="","",IF('Estimate lines'!F65="","",'Estimate lines'!F65))</f>
        <v/>
      </c>
      <c r="G65" s="15" t="str">
        <f>IF('Estimate lines'!$P65="","",IF('Estimate lines'!G65="","",'Estimate lines'!G65))</f>
        <v/>
      </c>
      <c r="H65" s="15" t="str">
        <f>IF('Estimate lines'!$P65="","",IF('Estimate lines'!H65="","",'Estimate lines'!H65))</f>
        <v/>
      </c>
      <c r="I65" s="11" t="str">
        <f>IF('Estimate lines'!$P65="","",IF('Estimate lines'!I65="","",'Estimate lines'!I65))</f>
        <v/>
      </c>
      <c r="J65" s="11" t="str">
        <f>IF('Estimate lines'!$P65="","",IF('Estimate lines'!J65="","",'Estimate lines'!J65))</f>
        <v/>
      </c>
      <c r="K65" s="16" t="str">
        <f>IF('Estimate lines'!$P65="","",IF('Estimate lines'!K65="","",'Estimate lines'!K65))</f>
        <v/>
      </c>
      <c r="L65" s="11" t="str">
        <f>IF('Estimate lines'!$P65="","",IF('Estimate lines'!L65="","",'Estimate lines'!L65))</f>
        <v/>
      </c>
      <c r="M65" s="11" t="str">
        <f>IF('Estimate lines'!$P65="","",IF('Estimate lines'!M65="","",'Estimate lines'!M65))</f>
        <v/>
      </c>
      <c r="N65" s="11" t="str">
        <f t="shared" si="2"/>
        <v/>
      </c>
      <c r="O65" s="11" t="str">
        <f t="shared" si="3"/>
        <v/>
      </c>
      <c r="P65" s="15" t="str">
        <f>IF(A65="","",'Estimate lines'!N65)</f>
        <v/>
      </c>
      <c r="Q65" s="15" t="str">
        <f>IF(A65="","",'Estimate lines'!O65)</f>
        <v/>
      </c>
    </row>
    <row r="66" spans="1:17" ht="25.05" customHeight="1">
      <c r="A66" s="11" t="str">
        <f>IF('Estimate lines'!$P66="","",IF('Estimate lines'!A66="","",'Estimate lines'!A66))</f>
        <v/>
      </c>
      <c r="B66" s="11" t="str">
        <f>IF('Estimate lines'!$P66="","",IF('Estimate lines'!B66="","",'Estimate lines'!B66))</f>
        <v/>
      </c>
      <c r="C66" s="11" t="str">
        <f>IF('Estimate lines'!$P66="","",IF('Estimate lines'!C66="","",'Estimate lines'!C66))</f>
        <v/>
      </c>
      <c r="D66" s="11" t="str">
        <f>IF('Estimate lines'!$P66="","",IF('Estimate lines'!D66="","",'Estimate lines'!D66))</f>
        <v/>
      </c>
      <c r="E66" s="12" t="str">
        <f>IF('Estimate lines'!$P66="","",IF('Estimate lines'!E66="","",'Estimate lines'!E66))</f>
        <v/>
      </c>
      <c r="F66" s="20" t="str">
        <f>IF('Estimate lines'!$P66="","",IF('Estimate lines'!F66="","",'Estimate lines'!F66))</f>
        <v/>
      </c>
      <c r="G66" s="15" t="str">
        <f>IF('Estimate lines'!$P66="","",IF('Estimate lines'!G66="","",'Estimate lines'!G66))</f>
        <v/>
      </c>
      <c r="H66" s="15" t="str">
        <f>IF('Estimate lines'!$P66="","",IF('Estimate lines'!H66="","",'Estimate lines'!H66))</f>
        <v/>
      </c>
      <c r="I66" s="11" t="str">
        <f>IF('Estimate lines'!$P66="","",IF('Estimate lines'!I66="","",'Estimate lines'!I66))</f>
        <v/>
      </c>
      <c r="J66" s="11" t="str">
        <f>IF('Estimate lines'!$P66="","",IF('Estimate lines'!J66="","",'Estimate lines'!J66))</f>
        <v/>
      </c>
      <c r="K66" s="16" t="str">
        <f>IF('Estimate lines'!$P66="","",IF('Estimate lines'!K66="","",'Estimate lines'!K66))</f>
        <v/>
      </c>
      <c r="L66" s="11" t="str">
        <f>IF('Estimate lines'!$P66="","",IF('Estimate lines'!L66="","",'Estimate lines'!L66))</f>
        <v/>
      </c>
      <c r="M66" s="11" t="str">
        <f>IF('Estimate lines'!$P66="","",IF('Estimate lines'!M66="","",'Estimate lines'!M66))</f>
        <v/>
      </c>
      <c r="N66" s="11" t="str">
        <f t="shared" si="2"/>
        <v/>
      </c>
      <c r="O66" s="11" t="str">
        <f t="shared" si="3"/>
        <v/>
      </c>
      <c r="P66" s="15" t="str">
        <f>IF(A66="","",'Estimate lines'!N66)</f>
        <v/>
      </c>
      <c r="Q66" s="15" t="str">
        <f>IF(A66="","",'Estimate lines'!O66)</f>
        <v/>
      </c>
    </row>
    <row r="67" spans="1:17" ht="25.05" customHeight="1">
      <c r="A67" s="11" t="str">
        <f>IF('Estimate lines'!$P67="","",IF('Estimate lines'!A67="","",'Estimate lines'!A67))</f>
        <v/>
      </c>
      <c r="B67" s="11" t="str">
        <f>IF('Estimate lines'!$P67="","",IF('Estimate lines'!B67="","",'Estimate lines'!B67))</f>
        <v/>
      </c>
      <c r="C67" s="11" t="str">
        <f>IF('Estimate lines'!$P67="","",IF('Estimate lines'!C67="","",'Estimate lines'!C67))</f>
        <v/>
      </c>
      <c r="D67" s="11" t="str">
        <f>IF('Estimate lines'!$P67="","",IF('Estimate lines'!D67="","",'Estimate lines'!D67))</f>
        <v/>
      </c>
      <c r="E67" s="12" t="str">
        <f>IF('Estimate lines'!$P67="","",IF('Estimate lines'!E67="","",'Estimate lines'!E67))</f>
        <v/>
      </c>
      <c r="F67" s="20" t="str">
        <f>IF('Estimate lines'!$P67="","",IF('Estimate lines'!F67="","",'Estimate lines'!F67))</f>
        <v/>
      </c>
      <c r="G67" s="15" t="str">
        <f>IF('Estimate lines'!$P67="","",IF('Estimate lines'!G67="","",'Estimate lines'!G67))</f>
        <v/>
      </c>
      <c r="H67" s="15" t="str">
        <f>IF('Estimate lines'!$P67="","",IF('Estimate lines'!H67="","",'Estimate lines'!H67))</f>
        <v/>
      </c>
      <c r="I67" s="11" t="str">
        <f>IF('Estimate lines'!$P67="","",IF('Estimate lines'!I67="","",'Estimate lines'!I67))</f>
        <v/>
      </c>
      <c r="J67" s="11" t="str">
        <f>IF('Estimate lines'!$P67="","",IF('Estimate lines'!J67="","",'Estimate lines'!J67))</f>
        <v/>
      </c>
      <c r="K67" s="16" t="str">
        <f>IF('Estimate lines'!$P67="","",IF('Estimate lines'!K67="","",'Estimate lines'!K67))</f>
        <v/>
      </c>
      <c r="L67" s="11" t="str">
        <f>IF('Estimate lines'!$P67="","",IF('Estimate lines'!L67="","",'Estimate lines'!L67))</f>
        <v/>
      </c>
      <c r="M67" s="11" t="str">
        <f>IF('Estimate lines'!$P67="","",IF('Estimate lines'!M67="","",'Estimate lines'!M67))</f>
        <v/>
      </c>
      <c r="N67" s="11" t="str">
        <f t="shared" si="2"/>
        <v/>
      </c>
      <c r="O67" s="11" t="str">
        <f t="shared" si="3"/>
        <v/>
      </c>
      <c r="P67" s="15" t="str">
        <f>IF(A67="","",'Estimate lines'!N67)</f>
        <v/>
      </c>
      <c r="Q67" s="15" t="str">
        <f>IF(A67="","",'Estimate lines'!O67)</f>
        <v/>
      </c>
    </row>
    <row r="68" spans="1:17" ht="25.05" customHeight="1">
      <c r="A68" s="11" t="str">
        <f>IF('Estimate lines'!$P68="","",IF('Estimate lines'!A68="","",'Estimate lines'!A68))</f>
        <v/>
      </c>
      <c r="B68" s="11" t="str">
        <f>IF('Estimate lines'!$P68="","",IF('Estimate lines'!B68="","",'Estimate lines'!B68))</f>
        <v/>
      </c>
      <c r="C68" s="11" t="str">
        <f>IF('Estimate lines'!$P68="","",IF('Estimate lines'!C68="","",'Estimate lines'!C68))</f>
        <v/>
      </c>
      <c r="D68" s="11" t="str">
        <f>IF('Estimate lines'!$P68="","",IF('Estimate lines'!D68="","",'Estimate lines'!D68))</f>
        <v/>
      </c>
      <c r="E68" s="12" t="str">
        <f>IF('Estimate lines'!$P68="","",IF('Estimate lines'!E68="","",'Estimate lines'!E68))</f>
        <v/>
      </c>
      <c r="F68" s="20" t="str">
        <f>IF('Estimate lines'!$P68="","",IF('Estimate lines'!F68="","",'Estimate lines'!F68))</f>
        <v/>
      </c>
      <c r="G68" s="15" t="str">
        <f>IF('Estimate lines'!$P68="","",IF('Estimate lines'!G68="","",'Estimate lines'!G68))</f>
        <v/>
      </c>
      <c r="H68" s="15" t="str">
        <f>IF('Estimate lines'!$P68="","",IF('Estimate lines'!H68="","",'Estimate lines'!H68))</f>
        <v/>
      </c>
      <c r="I68" s="11" t="str">
        <f>IF('Estimate lines'!$P68="","",IF('Estimate lines'!I68="","",'Estimate lines'!I68))</f>
        <v/>
      </c>
      <c r="J68" s="11" t="str">
        <f>IF('Estimate lines'!$P68="","",IF('Estimate lines'!J68="","",'Estimate lines'!J68))</f>
        <v/>
      </c>
      <c r="K68" s="16" t="str">
        <f>IF('Estimate lines'!$P68="","",IF('Estimate lines'!K68="","",'Estimate lines'!K68))</f>
        <v/>
      </c>
      <c r="L68" s="11" t="str">
        <f>IF('Estimate lines'!$P68="","",IF('Estimate lines'!L68="","",'Estimate lines'!L68))</f>
        <v/>
      </c>
      <c r="M68" s="11" t="str">
        <f>IF('Estimate lines'!$P68="","",IF('Estimate lines'!M68="","",'Estimate lines'!M68))</f>
        <v/>
      </c>
      <c r="N68" s="11" t="str">
        <f t="shared" si="2"/>
        <v/>
      </c>
      <c r="O68" s="11" t="str">
        <f t="shared" si="3"/>
        <v/>
      </c>
      <c r="P68" s="15" t="str">
        <f>IF(A68="","",'Estimate lines'!N68)</f>
        <v/>
      </c>
      <c r="Q68" s="15" t="str">
        <f>IF(A68="","",'Estimate lines'!O68)</f>
        <v/>
      </c>
    </row>
    <row r="69" spans="1:17" ht="25.05" customHeight="1">
      <c r="A69" s="11" t="str">
        <f>IF('Estimate lines'!$P69="","",IF('Estimate lines'!A69="","",'Estimate lines'!A69))</f>
        <v/>
      </c>
      <c r="B69" s="11" t="str">
        <f>IF('Estimate lines'!$P69="","",IF('Estimate lines'!B69="","",'Estimate lines'!B69))</f>
        <v/>
      </c>
      <c r="C69" s="11" t="str">
        <f>IF('Estimate lines'!$P69="","",IF('Estimate lines'!C69="","",'Estimate lines'!C69))</f>
        <v/>
      </c>
      <c r="D69" s="11" t="str">
        <f>IF('Estimate lines'!$P69="","",IF('Estimate lines'!D69="","",'Estimate lines'!D69))</f>
        <v/>
      </c>
      <c r="E69" s="12" t="str">
        <f>IF('Estimate lines'!$P69="","",IF('Estimate lines'!E69="","",'Estimate lines'!E69))</f>
        <v/>
      </c>
      <c r="F69" s="20" t="str">
        <f>IF('Estimate lines'!$P69="","",IF('Estimate lines'!F69="","",'Estimate lines'!F69))</f>
        <v/>
      </c>
      <c r="G69" s="15" t="str">
        <f>IF('Estimate lines'!$P69="","",IF('Estimate lines'!G69="","",'Estimate lines'!G69))</f>
        <v/>
      </c>
      <c r="H69" s="15" t="str">
        <f>IF('Estimate lines'!$P69="","",IF('Estimate lines'!H69="","",'Estimate lines'!H69))</f>
        <v/>
      </c>
      <c r="I69" s="11" t="str">
        <f>IF('Estimate lines'!$P69="","",IF('Estimate lines'!I69="","",'Estimate lines'!I69))</f>
        <v/>
      </c>
      <c r="J69" s="11" t="str">
        <f>IF('Estimate lines'!$P69="","",IF('Estimate lines'!J69="","",'Estimate lines'!J69))</f>
        <v/>
      </c>
      <c r="K69" s="16" t="str">
        <f>IF('Estimate lines'!$P69="","",IF('Estimate lines'!K69="","",'Estimate lines'!K69))</f>
        <v/>
      </c>
      <c r="L69" s="11" t="str">
        <f>IF('Estimate lines'!$P69="","",IF('Estimate lines'!L69="","",'Estimate lines'!L69))</f>
        <v/>
      </c>
      <c r="M69" s="11" t="str">
        <f>IF('Estimate lines'!$P69="","",IF('Estimate lines'!M69="","",'Estimate lines'!M69))</f>
        <v/>
      </c>
      <c r="N69" s="11" t="str">
        <f t="shared" si="2"/>
        <v/>
      </c>
      <c r="O69" s="11" t="str">
        <f t="shared" si="3"/>
        <v/>
      </c>
      <c r="P69" s="15" t="str">
        <f>IF(A69="","",'Estimate lines'!N69)</f>
        <v/>
      </c>
      <c r="Q69" s="15" t="str">
        <f>IF(A69="","",'Estimate lines'!O69)</f>
        <v/>
      </c>
    </row>
    <row r="70" spans="1:17" ht="25.05" customHeight="1">
      <c r="A70" s="11" t="str">
        <f>IF('Estimate lines'!$P70="","",IF('Estimate lines'!A70="","",'Estimate lines'!A70))</f>
        <v/>
      </c>
      <c r="B70" s="11" t="str">
        <f>IF('Estimate lines'!$P70="","",IF('Estimate lines'!B70="","",'Estimate lines'!B70))</f>
        <v/>
      </c>
      <c r="C70" s="11" t="str">
        <f>IF('Estimate lines'!$P70="","",IF('Estimate lines'!C70="","",'Estimate lines'!C70))</f>
        <v/>
      </c>
      <c r="D70" s="11" t="str">
        <f>IF('Estimate lines'!$P70="","",IF('Estimate lines'!D70="","",'Estimate lines'!D70))</f>
        <v/>
      </c>
      <c r="E70" s="12" t="str">
        <f>IF('Estimate lines'!$P70="","",IF('Estimate lines'!E70="","",'Estimate lines'!E70))</f>
        <v/>
      </c>
      <c r="F70" s="20" t="str">
        <f>IF('Estimate lines'!$P70="","",IF('Estimate lines'!F70="","",'Estimate lines'!F70))</f>
        <v/>
      </c>
      <c r="G70" s="15" t="str">
        <f>IF('Estimate lines'!$P70="","",IF('Estimate lines'!G70="","",'Estimate lines'!G70))</f>
        <v/>
      </c>
      <c r="H70" s="15" t="str">
        <f>IF('Estimate lines'!$P70="","",IF('Estimate lines'!H70="","",'Estimate lines'!H70))</f>
        <v/>
      </c>
      <c r="I70" s="11" t="str">
        <f>IF('Estimate lines'!$P70="","",IF('Estimate lines'!I70="","",'Estimate lines'!I70))</f>
        <v/>
      </c>
      <c r="J70" s="11" t="str">
        <f>IF('Estimate lines'!$P70="","",IF('Estimate lines'!J70="","",'Estimate lines'!J70))</f>
        <v/>
      </c>
      <c r="K70" s="16" t="str">
        <f>IF('Estimate lines'!$P70="","",IF('Estimate lines'!K70="","",'Estimate lines'!K70))</f>
        <v/>
      </c>
      <c r="L70" s="11" t="str">
        <f>IF('Estimate lines'!$P70="","",IF('Estimate lines'!L70="","",'Estimate lines'!L70))</f>
        <v/>
      </c>
      <c r="M70" s="11" t="str">
        <f>IF('Estimate lines'!$P70="","",IF('Estimate lines'!M70="","",'Estimate lines'!M70))</f>
        <v/>
      </c>
      <c r="N70" s="11" t="str">
        <f t="shared" ref="N70:N105" si="4">IF(A70="","","Estimate lines")</f>
        <v/>
      </c>
      <c r="O70" s="11" t="str">
        <f t="shared" ref="O70:O105" si="5">IF(A70="","",ROW())</f>
        <v/>
      </c>
      <c r="P70" s="15" t="str">
        <f>IF(A70="","",'Estimate lines'!N70)</f>
        <v/>
      </c>
      <c r="Q70" s="15" t="str">
        <f>IF(A70="","",'Estimate lines'!O70)</f>
        <v/>
      </c>
    </row>
    <row r="71" spans="1:17" ht="25.05" customHeight="1">
      <c r="A71" s="11" t="str">
        <f>IF('Estimate lines'!$P71="","",IF('Estimate lines'!A71="","",'Estimate lines'!A71))</f>
        <v/>
      </c>
      <c r="B71" s="11" t="str">
        <f>IF('Estimate lines'!$P71="","",IF('Estimate lines'!B71="","",'Estimate lines'!B71))</f>
        <v/>
      </c>
      <c r="C71" s="11" t="str">
        <f>IF('Estimate lines'!$P71="","",IF('Estimate lines'!C71="","",'Estimate lines'!C71))</f>
        <v/>
      </c>
      <c r="D71" s="11" t="str">
        <f>IF('Estimate lines'!$P71="","",IF('Estimate lines'!D71="","",'Estimate lines'!D71))</f>
        <v/>
      </c>
      <c r="E71" s="12" t="str">
        <f>IF('Estimate lines'!$P71="","",IF('Estimate lines'!E71="","",'Estimate lines'!E71))</f>
        <v/>
      </c>
      <c r="F71" s="20" t="str">
        <f>IF('Estimate lines'!$P71="","",IF('Estimate lines'!F71="","",'Estimate lines'!F71))</f>
        <v/>
      </c>
      <c r="G71" s="15" t="str">
        <f>IF('Estimate lines'!$P71="","",IF('Estimate lines'!G71="","",'Estimate lines'!G71))</f>
        <v/>
      </c>
      <c r="H71" s="15" t="str">
        <f>IF('Estimate lines'!$P71="","",IF('Estimate lines'!H71="","",'Estimate lines'!H71))</f>
        <v/>
      </c>
      <c r="I71" s="11" t="str">
        <f>IF('Estimate lines'!$P71="","",IF('Estimate lines'!I71="","",'Estimate lines'!I71))</f>
        <v/>
      </c>
      <c r="J71" s="11" t="str">
        <f>IF('Estimate lines'!$P71="","",IF('Estimate lines'!J71="","",'Estimate lines'!J71))</f>
        <v/>
      </c>
      <c r="K71" s="16" t="str">
        <f>IF('Estimate lines'!$P71="","",IF('Estimate lines'!K71="","",'Estimate lines'!K71))</f>
        <v/>
      </c>
      <c r="L71" s="11" t="str">
        <f>IF('Estimate lines'!$P71="","",IF('Estimate lines'!L71="","",'Estimate lines'!L71))</f>
        <v/>
      </c>
      <c r="M71" s="11" t="str">
        <f>IF('Estimate lines'!$P71="","",IF('Estimate lines'!M71="","",'Estimate lines'!M71))</f>
        <v/>
      </c>
      <c r="N71" s="11" t="str">
        <f t="shared" si="4"/>
        <v/>
      </c>
      <c r="O71" s="11" t="str">
        <f t="shared" si="5"/>
        <v/>
      </c>
      <c r="P71" s="15" t="str">
        <f>IF(A71="","",'Estimate lines'!N71)</f>
        <v/>
      </c>
      <c r="Q71" s="15" t="str">
        <f>IF(A71="","",'Estimate lines'!O71)</f>
        <v/>
      </c>
    </row>
    <row r="72" spans="1:17" ht="25.05" customHeight="1">
      <c r="A72" s="11" t="str">
        <f>IF('Estimate lines'!$P72="","",IF('Estimate lines'!A72="","",'Estimate lines'!A72))</f>
        <v/>
      </c>
      <c r="B72" s="11" t="str">
        <f>IF('Estimate lines'!$P72="","",IF('Estimate lines'!B72="","",'Estimate lines'!B72))</f>
        <v/>
      </c>
      <c r="C72" s="11" t="str">
        <f>IF('Estimate lines'!$P72="","",IF('Estimate lines'!C72="","",'Estimate lines'!C72))</f>
        <v/>
      </c>
      <c r="D72" s="11" t="str">
        <f>IF('Estimate lines'!$P72="","",IF('Estimate lines'!D72="","",'Estimate lines'!D72))</f>
        <v/>
      </c>
      <c r="E72" s="12" t="str">
        <f>IF('Estimate lines'!$P72="","",IF('Estimate lines'!E72="","",'Estimate lines'!E72))</f>
        <v/>
      </c>
      <c r="F72" s="20" t="str">
        <f>IF('Estimate lines'!$P72="","",IF('Estimate lines'!F72="","",'Estimate lines'!F72))</f>
        <v/>
      </c>
      <c r="G72" s="15" t="str">
        <f>IF('Estimate lines'!$P72="","",IF('Estimate lines'!G72="","",'Estimate lines'!G72))</f>
        <v/>
      </c>
      <c r="H72" s="15" t="str">
        <f>IF('Estimate lines'!$P72="","",IF('Estimate lines'!H72="","",'Estimate lines'!H72))</f>
        <v/>
      </c>
      <c r="I72" s="11" t="str">
        <f>IF('Estimate lines'!$P72="","",IF('Estimate lines'!I72="","",'Estimate lines'!I72))</f>
        <v/>
      </c>
      <c r="J72" s="11" t="str">
        <f>IF('Estimate lines'!$P72="","",IF('Estimate lines'!J72="","",'Estimate lines'!J72))</f>
        <v/>
      </c>
      <c r="K72" s="16" t="str">
        <f>IF('Estimate lines'!$P72="","",IF('Estimate lines'!K72="","",'Estimate lines'!K72))</f>
        <v/>
      </c>
      <c r="L72" s="11" t="str">
        <f>IF('Estimate lines'!$P72="","",IF('Estimate lines'!L72="","",'Estimate lines'!L72))</f>
        <v/>
      </c>
      <c r="M72" s="11" t="str">
        <f>IF('Estimate lines'!$P72="","",IF('Estimate lines'!M72="","",'Estimate lines'!M72))</f>
        <v/>
      </c>
      <c r="N72" s="11" t="str">
        <f t="shared" si="4"/>
        <v/>
      </c>
      <c r="O72" s="11" t="str">
        <f t="shared" si="5"/>
        <v/>
      </c>
      <c r="P72" s="15" t="str">
        <f>IF(A72="","",'Estimate lines'!N72)</f>
        <v/>
      </c>
      <c r="Q72" s="15" t="str">
        <f>IF(A72="","",'Estimate lines'!O72)</f>
        <v/>
      </c>
    </row>
    <row r="73" spans="1:17" ht="25.05" customHeight="1">
      <c r="A73" s="11" t="str">
        <f>IF('Estimate lines'!$P73="","",IF('Estimate lines'!A73="","",'Estimate lines'!A73))</f>
        <v/>
      </c>
      <c r="B73" s="11" t="str">
        <f>IF('Estimate lines'!$P73="","",IF('Estimate lines'!B73="","",'Estimate lines'!B73))</f>
        <v/>
      </c>
      <c r="C73" s="11" t="str">
        <f>IF('Estimate lines'!$P73="","",IF('Estimate lines'!C73="","",'Estimate lines'!C73))</f>
        <v/>
      </c>
      <c r="D73" s="11" t="str">
        <f>IF('Estimate lines'!$P73="","",IF('Estimate lines'!D73="","",'Estimate lines'!D73))</f>
        <v/>
      </c>
      <c r="E73" s="12" t="str">
        <f>IF('Estimate lines'!$P73="","",IF('Estimate lines'!E73="","",'Estimate lines'!E73))</f>
        <v/>
      </c>
      <c r="F73" s="20" t="str">
        <f>IF('Estimate lines'!$P73="","",IF('Estimate lines'!F73="","",'Estimate lines'!F73))</f>
        <v/>
      </c>
      <c r="G73" s="15" t="str">
        <f>IF('Estimate lines'!$P73="","",IF('Estimate lines'!G73="","",'Estimate lines'!G73))</f>
        <v/>
      </c>
      <c r="H73" s="15" t="str">
        <f>IF('Estimate lines'!$P73="","",IF('Estimate lines'!H73="","",'Estimate lines'!H73))</f>
        <v/>
      </c>
      <c r="I73" s="11" t="str">
        <f>IF('Estimate lines'!$P73="","",IF('Estimate lines'!I73="","",'Estimate lines'!I73))</f>
        <v/>
      </c>
      <c r="J73" s="11" t="str">
        <f>IF('Estimate lines'!$P73="","",IF('Estimate lines'!J73="","",'Estimate lines'!J73))</f>
        <v/>
      </c>
      <c r="K73" s="16" t="str">
        <f>IF('Estimate lines'!$P73="","",IF('Estimate lines'!K73="","",'Estimate lines'!K73))</f>
        <v/>
      </c>
      <c r="L73" s="11" t="str">
        <f>IF('Estimate lines'!$P73="","",IF('Estimate lines'!L73="","",'Estimate lines'!L73))</f>
        <v/>
      </c>
      <c r="M73" s="11" t="str">
        <f>IF('Estimate lines'!$P73="","",IF('Estimate lines'!M73="","",'Estimate lines'!M73))</f>
        <v/>
      </c>
      <c r="N73" s="11" t="str">
        <f t="shared" si="4"/>
        <v/>
      </c>
      <c r="O73" s="11" t="str">
        <f t="shared" si="5"/>
        <v/>
      </c>
      <c r="P73" s="15" t="str">
        <f>IF(A73="","",'Estimate lines'!N73)</f>
        <v/>
      </c>
      <c r="Q73" s="15" t="str">
        <f>IF(A73="","",'Estimate lines'!O73)</f>
        <v/>
      </c>
    </row>
    <row r="74" spans="1:17" ht="25.05" customHeight="1">
      <c r="A74" s="11" t="str">
        <f>IF('Estimate lines'!$P74="","",IF('Estimate lines'!A74="","",'Estimate lines'!A74))</f>
        <v/>
      </c>
      <c r="B74" s="11" t="str">
        <f>IF('Estimate lines'!$P74="","",IF('Estimate lines'!B74="","",'Estimate lines'!B74))</f>
        <v/>
      </c>
      <c r="C74" s="11" t="str">
        <f>IF('Estimate lines'!$P74="","",IF('Estimate lines'!C74="","",'Estimate lines'!C74))</f>
        <v/>
      </c>
      <c r="D74" s="11" t="str">
        <f>IF('Estimate lines'!$P74="","",IF('Estimate lines'!D74="","",'Estimate lines'!D74))</f>
        <v/>
      </c>
      <c r="E74" s="12" t="str">
        <f>IF('Estimate lines'!$P74="","",IF('Estimate lines'!E74="","",'Estimate lines'!E74))</f>
        <v/>
      </c>
      <c r="F74" s="20" t="str">
        <f>IF('Estimate lines'!$P74="","",IF('Estimate lines'!F74="","",'Estimate lines'!F74))</f>
        <v/>
      </c>
      <c r="G74" s="15" t="str">
        <f>IF('Estimate lines'!$P74="","",IF('Estimate lines'!G74="","",'Estimate lines'!G74))</f>
        <v/>
      </c>
      <c r="H74" s="15" t="str">
        <f>IF('Estimate lines'!$P74="","",IF('Estimate lines'!H74="","",'Estimate lines'!H74))</f>
        <v/>
      </c>
      <c r="I74" s="11" t="str">
        <f>IF('Estimate lines'!$P74="","",IF('Estimate lines'!I74="","",'Estimate lines'!I74))</f>
        <v/>
      </c>
      <c r="J74" s="11" t="str">
        <f>IF('Estimate lines'!$P74="","",IF('Estimate lines'!J74="","",'Estimate lines'!J74))</f>
        <v/>
      </c>
      <c r="K74" s="16" t="str">
        <f>IF('Estimate lines'!$P74="","",IF('Estimate lines'!K74="","",'Estimate lines'!K74))</f>
        <v/>
      </c>
      <c r="L74" s="11" t="str">
        <f>IF('Estimate lines'!$P74="","",IF('Estimate lines'!L74="","",'Estimate lines'!L74))</f>
        <v/>
      </c>
      <c r="M74" s="11" t="str">
        <f>IF('Estimate lines'!$P74="","",IF('Estimate lines'!M74="","",'Estimate lines'!M74))</f>
        <v/>
      </c>
      <c r="N74" s="11" t="str">
        <f t="shared" si="4"/>
        <v/>
      </c>
      <c r="O74" s="11" t="str">
        <f t="shared" si="5"/>
        <v/>
      </c>
      <c r="P74" s="15" t="str">
        <f>IF(A74="","",'Estimate lines'!N74)</f>
        <v/>
      </c>
      <c r="Q74" s="15" t="str">
        <f>IF(A74="","",'Estimate lines'!O74)</f>
        <v/>
      </c>
    </row>
    <row r="75" spans="1:17" ht="25.05" customHeight="1">
      <c r="A75" s="11" t="str">
        <f>IF('Estimate lines'!$P75="","",IF('Estimate lines'!A75="","",'Estimate lines'!A75))</f>
        <v/>
      </c>
      <c r="B75" s="11" t="str">
        <f>IF('Estimate lines'!$P75="","",IF('Estimate lines'!B75="","",'Estimate lines'!B75))</f>
        <v/>
      </c>
      <c r="C75" s="11" t="str">
        <f>IF('Estimate lines'!$P75="","",IF('Estimate lines'!C75="","",'Estimate lines'!C75))</f>
        <v/>
      </c>
      <c r="D75" s="11" t="str">
        <f>IF('Estimate lines'!$P75="","",IF('Estimate lines'!D75="","",'Estimate lines'!D75))</f>
        <v/>
      </c>
      <c r="E75" s="12" t="str">
        <f>IF('Estimate lines'!$P75="","",IF('Estimate lines'!E75="","",'Estimate lines'!E75))</f>
        <v/>
      </c>
      <c r="F75" s="20" t="str">
        <f>IF('Estimate lines'!$P75="","",IF('Estimate lines'!F75="","",'Estimate lines'!F75))</f>
        <v/>
      </c>
      <c r="G75" s="15" t="str">
        <f>IF('Estimate lines'!$P75="","",IF('Estimate lines'!G75="","",'Estimate lines'!G75))</f>
        <v/>
      </c>
      <c r="H75" s="15" t="str">
        <f>IF('Estimate lines'!$P75="","",IF('Estimate lines'!H75="","",'Estimate lines'!H75))</f>
        <v/>
      </c>
      <c r="I75" s="11" t="str">
        <f>IF('Estimate lines'!$P75="","",IF('Estimate lines'!I75="","",'Estimate lines'!I75))</f>
        <v/>
      </c>
      <c r="J75" s="11" t="str">
        <f>IF('Estimate lines'!$P75="","",IF('Estimate lines'!J75="","",'Estimate lines'!J75))</f>
        <v/>
      </c>
      <c r="K75" s="16" t="str">
        <f>IF('Estimate lines'!$P75="","",IF('Estimate lines'!K75="","",'Estimate lines'!K75))</f>
        <v/>
      </c>
      <c r="L75" s="11" t="str">
        <f>IF('Estimate lines'!$P75="","",IF('Estimate lines'!L75="","",'Estimate lines'!L75))</f>
        <v/>
      </c>
      <c r="M75" s="11" t="str">
        <f>IF('Estimate lines'!$P75="","",IF('Estimate lines'!M75="","",'Estimate lines'!M75))</f>
        <v/>
      </c>
      <c r="N75" s="11" t="str">
        <f t="shared" si="4"/>
        <v/>
      </c>
      <c r="O75" s="11" t="str">
        <f t="shared" si="5"/>
        <v/>
      </c>
      <c r="P75" s="15" t="str">
        <f>IF(A75="","",'Estimate lines'!N75)</f>
        <v/>
      </c>
      <c r="Q75" s="15" t="str">
        <f>IF(A75="","",'Estimate lines'!O75)</f>
        <v/>
      </c>
    </row>
    <row r="76" spans="1:17" ht="25.05" customHeight="1">
      <c r="A76" s="11" t="str">
        <f>IF('Estimate lines'!$P76="","",IF('Estimate lines'!A76="","",'Estimate lines'!A76))</f>
        <v/>
      </c>
      <c r="B76" s="11" t="str">
        <f>IF('Estimate lines'!$P76="","",IF('Estimate lines'!B76="","",'Estimate lines'!B76))</f>
        <v/>
      </c>
      <c r="C76" s="11" t="str">
        <f>IF('Estimate lines'!$P76="","",IF('Estimate lines'!C76="","",'Estimate lines'!C76))</f>
        <v/>
      </c>
      <c r="D76" s="11" t="str">
        <f>IF('Estimate lines'!$P76="","",IF('Estimate lines'!D76="","",'Estimate lines'!D76))</f>
        <v/>
      </c>
      <c r="E76" s="12" t="str">
        <f>IF('Estimate lines'!$P76="","",IF('Estimate lines'!E76="","",'Estimate lines'!E76))</f>
        <v/>
      </c>
      <c r="F76" s="20" t="str">
        <f>IF('Estimate lines'!$P76="","",IF('Estimate lines'!F76="","",'Estimate lines'!F76))</f>
        <v/>
      </c>
      <c r="G76" s="15" t="str">
        <f>IF('Estimate lines'!$P76="","",IF('Estimate lines'!G76="","",'Estimate lines'!G76))</f>
        <v/>
      </c>
      <c r="H76" s="15" t="str">
        <f>IF('Estimate lines'!$P76="","",IF('Estimate lines'!H76="","",'Estimate lines'!H76))</f>
        <v/>
      </c>
      <c r="I76" s="11" t="str">
        <f>IF('Estimate lines'!$P76="","",IF('Estimate lines'!I76="","",'Estimate lines'!I76))</f>
        <v/>
      </c>
      <c r="J76" s="11" t="str">
        <f>IF('Estimate lines'!$P76="","",IF('Estimate lines'!J76="","",'Estimate lines'!J76))</f>
        <v/>
      </c>
      <c r="K76" s="16" t="str">
        <f>IF('Estimate lines'!$P76="","",IF('Estimate lines'!K76="","",'Estimate lines'!K76))</f>
        <v/>
      </c>
      <c r="L76" s="11" t="str">
        <f>IF('Estimate lines'!$P76="","",IF('Estimate lines'!L76="","",'Estimate lines'!L76))</f>
        <v/>
      </c>
      <c r="M76" s="11" t="str">
        <f>IF('Estimate lines'!$P76="","",IF('Estimate lines'!M76="","",'Estimate lines'!M76))</f>
        <v/>
      </c>
      <c r="N76" s="11" t="str">
        <f t="shared" si="4"/>
        <v/>
      </c>
      <c r="O76" s="11" t="str">
        <f t="shared" si="5"/>
        <v/>
      </c>
      <c r="P76" s="15" t="str">
        <f>IF(A76="","",'Estimate lines'!N76)</f>
        <v/>
      </c>
      <c r="Q76" s="15" t="str">
        <f>IF(A76="","",'Estimate lines'!O76)</f>
        <v/>
      </c>
    </row>
    <row r="77" spans="1:17" ht="25.05" customHeight="1">
      <c r="A77" s="11" t="str">
        <f>IF('Estimate lines'!$P77="","",IF('Estimate lines'!A77="","",'Estimate lines'!A77))</f>
        <v/>
      </c>
      <c r="B77" s="11" t="str">
        <f>IF('Estimate lines'!$P77="","",IF('Estimate lines'!B77="","",'Estimate lines'!B77))</f>
        <v/>
      </c>
      <c r="C77" s="11" t="str">
        <f>IF('Estimate lines'!$P77="","",IF('Estimate lines'!C77="","",'Estimate lines'!C77))</f>
        <v/>
      </c>
      <c r="D77" s="11" t="str">
        <f>IF('Estimate lines'!$P77="","",IF('Estimate lines'!D77="","",'Estimate lines'!D77))</f>
        <v/>
      </c>
      <c r="E77" s="12" t="str">
        <f>IF('Estimate lines'!$P77="","",IF('Estimate lines'!E77="","",'Estimate lines'!E77))</f>
        <v/>
      </c>
      <c r="F77" s="20" t="str">
        <f>IF('Estimate lines'!$P77="","",IF('Estimate lines'!F77="","",'Estimate lines'!F77))</f>
        <v/>
      </c>
      <c r="G77" s="15" t="str">
        <f>IF('Estimate lines'!$P77="","",IF('Estimate lines'!G77="","",'Estimate lines'!G77))</f>
        <v/>
      </c>
      <c r="H77" s="15" t="str">
        <f>IF('Estimate lines'!$P77="","",IF('Estimate lines'!H77="","",'Estimate lines'!H77))</f>
        <v/>
      </c>
      <c r="I77" s="11" t="str">
        <f>IF('Estimate lines'!$P77="","",IF('Estimate lines'!I77="","",'Estimate lines'!I77))</f>
        <v/>
      </c>
      <c r="J77" s="11" t="str">
        <f>IF('Estimate lines'!$P77="","",IF('Estimate lines'!J77="","",'Estimate lines'!J77))</f>
        <v/>
      </c>
      <c r="K77" s="16" t="str">
        <f>IF('Estimate lines'!$P77="","",IF('Estimate lines'!K77="","",'Estimate lines'!K77))</f>
        <v/>
      </c>
      <c r="L77" s="11" t="str">
        <f>IF('Estimate lines'!$P77="","",IF('Estimate lines'!L77="","",'Estimate lines'!L77))</f>
        <v/>
      </c>
      <c r="M77" s="11" t="str">
        <f>IF('Estimate lines'!$P77="","",IF('Estimate lines'!M77="","",'Estimate lines'!M77))</f>
        <v/>
      </c>
      <c r="N77" s="11" t="str">
        <f t="shared" si="4"/>
        <v/>
      </c>
      <c r="O77" s="11" t="str">
        <f t="shared" si="5"/>
        <v/>
      </c>
      <c r="P77" s="15" t="str">
        <f>IF(A77="","",'Estimate lines'!N77)</f>
        <v/>
      </c>
      <c r="Q77" s="15" t="str">
        <f>IF(A77="","",'Estimate lines'!O77)</f>
        <v/>
      </c>
    </row>
    <row r="78" spans="1:17" ht="25.05" customHeight="1">
      <c r="A78" s="11" t="str">
        <f>IF('Estimate lines'!$P78="","",IF('Estimate lines'!A78="","",'Estimate lines'!A78))</f>
        <v/>
      </c>
      <c r="B78" s="11" t="str">
        <f>IF('Estimate lines'!$P78="","",IF('Estimate lines'!B78="","",'Estimate lines'!B78))</f>
        <v/>
      </c>
      <c r="C78" s="11" t="str">
        <f>IF('Estimate lines'!$P78="","",IF('Estimate lines'!C78="","",'Estimate lines'!C78))</f>
        <v/>
      </c>
      <c r="D78" s="11" t="str">
        <f>IF('Estimate lines'!$P78="","",IF('Estimate lines'!D78="","",'Estimate lines'!D78))</f>
        <v/>
      </c>
      <c r="E78" s="12" t="str">
        <f>IF('Estimate lines'!$P78="","",IF('Estimate lines'!E78="","",'Estimate lines'!E78))</f>
        <v/>
      </c>
      <c r="F78" s="20" t="str">
        <f>IF('Estimate lines'!$P78="","",IF('Estimate lines'!F78="","",'Estimate lines'!F78))</f>
        <v/>
      </c>
      <c r="G78" s="15" t="str">
        <f>IF('Estimate lines'!$P78="","",IF('Estimate lines'!G78="","",'Estimate lines'!G78))</f>
        <v/>
      </c>
      <c r="H78" s="15" t="str">
        <f>IF('Estimate lines'!$P78="","",IF('Estimate lines'!H78="","",'Estimate lines'!H78))</f>
        <v/>
      </c>
      <c r="I78" s="11" t="str">
        <f>IF('Estimate lines'!$P78="","",IF('Estimate lines'!I78="","",'Estimate lines'!I78))</f>
        <v/>
      </c>
      <c r="J78" s="11" t="str">
        <f>IF('Estimate lines'!$P78="","",IF('Estimate lines'!J78="","",'Estimate lines'!J78))</f>
        <v/>
      </c>
      <c r="K78" s="16" t="str">
        <f>IF('Estimate lines'!$P78="","",IF('Estimate lines'!K78="","",'Estimate lines'!K78))</f>
        <v/>
      </c>
      <c r="L78" s="11" t="str">
        <f>IF('Estimate lines'!$P78="","",IF('Estimate lines'!L78="","",'Estimate lines'!L78))</f>
        <v/>
      </c>
      <c r="M78" s="11" t="str">
        <f>IF('Estimate lines'!$P78="","",IF('Estimate lines'!M78="","",'Estimate lines'!M78))</f>
        <v/>
      </c>
      <c r="N78" s="11" t="str">
        <f t="shared" si="4"/>
        <v/>
      </c>
      <c r="O78" s="11" t="str">
        <f t="shared" si="5"/>
        <v/>
      </c>
      <c r="P78" s="15" t="str">
        <f>IF(A78="","",'Estimate lines'!N78)</f>
        <v/>
      </c>
      <c r="Q78" s="15" t="str">
        <f>IF(A78="","",'Estimate lines'!O78)</f>
        <v/>
      </c>
    </row>
    <row r="79" spans="1:17" ht="25.05" customHeight="1">
      <c r="A79" s="11" t="str">
        <f>IF('Estimate lines'!$P79="","",IF('Estimate lines'!A79="","",'Estimate lines'!A79))</f>
        <v/>
      </c>
      <c r="B79" s="11" t="str">
        <f>IF('Estimate lines'!$P79="","",IF('Estimate lines'!B79="","",'Estimate lines'!B79))</f>
        <v/>
      </c>
      <c r="C79" s="11" t="str">
        <f>IF('Estimate lines'!$P79="","",IF('Estimate lines'!C79="","",'Estimate lines'!C79))</f>
        <v/>
      </c>
      <c r="D79" s="11" t="str">
        <f>IF('Estimate lines'!$P79="","",IF('Estimate lines'!D79="","",'Estimate lines'!D79))</f>
        <v/>
      </c>
      <c r="E79" s="12" t="str">
        <f>IF('Estimate lines'!$P79="","",IF('Estimate lines'!E79="","",'Estimate lines'!E79))</f>
        <v/>
      </c>
      <c r="F79" s="20" t="str">
        <f>IF('Estimate lines'!$P79="","",IF('Estimate lines'!F79="","",'Estimate lines'!F79))</f>
        <v/>
      </c>
      <c r="G79" s="15" t="str">
        <f>IF('Estimate lines'!$P79="","",IF('Estimate lines'!G79="","",'Estimate lines'!G79))</f>
        <v/>
      </c>
      <c r="H79" s="15" t="str">
        <f>IF('Estimate lines'!$P79="","",IF('Estimate lines'!H79="","",'Estimate lines'!H79))</f>
        <v/>
      </c>
      <c r="I79" s="11" t="str">
        <f>IF('Estimate lines'!$P79="","",IF('Estimate lines'!I79="","",'Estimate lines'!I79))</f>
        <v/>
      </c>
      <c r="J79" s="11" t="str">
        <f>IF('Estimate lines'!$P79="","",IF('Estimate lines'!J79="","",'Estimate lines'!J79))</f>
        <v/>
      </c>
      <c r="K79" s="16" t="str">
        <f>IF('Estimate lines'!$P79="","",IF('Estimate lines'!K79="","",'Estimate lines'!K79))</f>
        <v/>
      </c>
      <c r="L79" s="11" t="str">
        <f>IF('Estimate lines'!$P79="","",IF('Estimate lines'!L79="","",'Estimate lines'!L79))</f>
        <v/>
      </c>
      <c r="M79" s="11" t="str">
        <f>IF('Estimate lines'!$P79="","",IF('Estimate lines'!M79="","",'Estimate lines'!M79))</f>
        <v/>
      </c>
      <c r="N79" s="11" t="str">
        <f t="shared" si="4"/>
        <v/>
      </c>
      <c r="O79" s="11" t="str">
        <f t="shared" si="5"/>
        <v/>
      </c>
      <c r="P79" s="15" t="str">
        <f>IF(A79="","",'Estimate lines'!N79)</f>
        <v/>
      </c>
      <c r="Q79" s="15" t="str">
        <f>IF(A79="","",'Estimate lines'!O79)</f>
        <v/>
      </c>
    </row>
    <row r="80" spans="1:17" ht="25.05" customHeight="1">
      <c r="A80" s="11" t="str">
        <f>IF('Estimate lines'!$P80="","",IF('Estimate lines'!A80="","",'Estimate lines'!A80))</f>
        <v/>
      </c>
      <c r="B80" s="11" t="str">
        <f>IF('Estimate lines'!$P80="","",IF('Estimate lines'!B80="","",'Estimate lines'!B80))</f>
        <v/>
      </c>
      <c r="C80" s="11" t="str">
        <f>IF('Estimate lines'!$P80="","",IF('Estimate lines'!C80="","",'Estimate lines'!C80))</f>
        <v/>
      </c>
      <c r="D80" s="11" t="str">
        <f>IF('Estimate lines'!$P80="","",IF('Estimate lines'!D80="","",'Estimate lines'!D80))</f>
        <v/>
      </c>
      <c r="E80" s="12" t="str">
        <f>IF('Estimate lines'!$P80="","",IF('Estimate lines'!E80="","",'Estimate lines'!E80))</f>
        <v/>
      </c>
      <c r="F80" s="20" t="str">
        <f>IF('Estimate lines'!$P80="","",IF('Estimate lines'!F80="","",'Estimate lines'!F80))</f>
        <v/>
      </c>
      <c r="G80" s="15" t="str">
        <f>IF('Estimate lines'!$P80="","",IF('Estimate lines'!G80="","",'Estimate lines'!G80))</f>
        <v/>
      </c>
      <c r="H80" s="15" t="str">
        <f>IF('Estimate lines'!$P80="","",IF('Estimate lines'!H80="","",'Estimate lines'!H80))</f>
        <v/>
      </c>
      <c r="I80" s="11" t="str">
        <f>IF('Estimate lines'!$P80="","",IF('Estimate lines'!I80="","",'Estimate lines'!I80))</f>
        <v/>
      </c>
      <c r="J80" s="11" t="str">
        <f>IF('Estimate lines'!$P80="","",IF('Estimate lines'!J80="","",'Estimate lines'!J80))</f>
        <v/>
      </c>
      <c r="K80" s="16" t="str">
        <f>IF('Estimate lines'!$P80="","",IF('Estimate lines'!K80="","",'Estimate lines'!K80))</f>
        <v/>
      </c>
      <c r="L80" s="11" t="str">
        <f>IF('Estimate lines'!$P80="","",IF('Estimate lines'!L80="","",'Estimate lines'!L80))</f>
        <v/>
      </c>
      <c r="M80" s="11" t="str">
        <f>IF('Estimate lines'!$P80="","",IF('Estimate lines'!M80="","",'Estimate lines'!M80))</f>
        <v/>
      </c>
      <c r="N80" s="11" t="str">
        <f t="shared" si="4"/>
        <v/>
      </c>
      <c r="O80" s="11" t="str">
        <f t="shared" si="5"/>
        <v/>
      </c>
      <c r="P80" s="15" t="str">
        <f>IF(A80="","",'Estimate lines'!N80)</f>
        <v/>
      </c>
      <c r="Q80" s="15" t="str">
        <f>IF(A80="","",'Estimate lines'!O80)</f>
        <v/>
      </c>
    </row>
    <row r="81" spans="1:17" ht="25.05" customHeight="1">
      <c r="A81" s="11" t="str">
        <f>IF('Estimate lines'!$P81="","",IF('Estimate lines'!A81="","",'Estimate lines'!A81))</f>
        <v/>
      </c>
      <c r="B81" s="11" t="str">
        <f>IF('Estimate lines'!$P81="","",IF('Estimate lines'!B81="","",'Estimate lines'!B81))</f>
        <v/>
      </c>
      <c r="C81" s="11" t="str">
        <f>IF('Estimate lines'!$P81="","",IF('Estimate lines'!C81="","",'Estimate lines'!C81))</f>
        <v/>
      </c>
      <c r="D81" s="11" t="str">
        <f>IF('Estimate lines'!$P81="","",IF('Estimate lines'!D81="","",'Estimate lines'!D81))</f>
        <v/>
      </c>
      <c r="E81" s="12" t="str">
        <f>IF('Estimate lines'!$P81="","",IF('Estimate lines'!E81="","",'Estimate lines'!E81))</f>
        <v/>
      </c>
      <c r="F81" s="20" t="str">
        <f>IF('Estimate lines'!$P81="","",IF('Estimate lines'!F81="","",'Estimate lines'!F81))</f>
        <v/>
      </c>
      <c r="G81" s="15" t="str">
        <f>IF('Estimate lines'!$P81="","",IF('Estimate lines'!G81="","",'Estimate lines'!G81))</f>
        <v/>
      </c>
      <c r="H81" s="15" t="str">
        <f>IF('Estimate lines'!$P81="","",IF('Estimate lines'!H81="","",'Estimate lines'!H81))</f>
        <v/>
      </c>
      <c r="I81" s="11" t="str">
        <f>IF('Estimate lines'!$P81="","",IF('Estimate lines'!I81="","",'Estimate lines'!I81))</f>
        <v/>
      </c>
      <c r="J81" s="11" t="str">
        <f>IF('Estimate lines'!$P81="","",IF('Estimate lines'!J81="","",'Estimate lines'!J81))</f>
        <v/>
      </c>
      <c r="K81" s="16" t="str">
        <f>IF('Estimate lines'!$P81="","",IF('Estimate lines'!K81="","",'Estimate lines'!K81))</f>
        <v/>
      </c>
      <c r="L81" s="11" t="str">
        <f>IF('Estimate lines'!$P81="","",IF('Estimate lines'!L81="","",'Estimate lines'!L81))</f>
        <v/>
      </c>
      <c r="M81" s="11" t="str">
        <f>IF('Estimate lines'!$P81="","",IF('Estimate lines'!M81="","",'Estimate lines'!M81))</f>
        <v/>
      </c>
      <c r="N81" s="11" t="str">
        <f t="shared" si="4"/>
        <v/>
      </c>
      <c r="O81" s="11" t="str">
        <f t="shared" si="5"/>
        <v/>
      </c>
      <c r="P81" s="15" t="str">
        <f>IF(A81="","",'Estimate lines'!N81)</f>
        <v/>
      </c>
      <c r="Q81" s="15" t="str">
        <f>IF(A81="","",'Estimate lines'!O81)</f>
        <v/>
      </c>
    </row>
    <row r="82" spans="1:17" ht="25.05" customHeight="1">
      <c r="A82" s="11" t="str">
        <f>IF('Estimate lines'!$P82="","",IF('Estimate lines'!A82="","",'Estimate lines'!A82))</f>
        <v/>
      </c>
      <c r="B82" s="11" t="str">
        <f>IF('Estimate lines'!$P82="","",IF('Estimate lines'!B82="","",'Estimate lines'!B82))</f>
        <v/>
      </c>
      <c r="C82" s="11" t="str">
        <f>IF('Estimate lines'!$P82="","",IF('Estimate lines'!C82="","",'Estimate lines'!C82))</f>
        <v/>
      </c>
      <c r="D82" s="11" t="str">
        <f>IF('Estimate lines'!$P82="","",IF('Estimate lines'!D82="","",'Estimate lines'!D82))</f>
        <v/>
      </c>
      <c r="E82" s="12" t="str">
        <f>IF('Estimate lines'!$P82="","",IF('Estimate lines'!E82="","",'Estimate lines'!E82))</f>
        <v/>
      </c>
      <c r="F82" s="20" t="str">
        <f>IF('Estimate lines'!$P82="","",IF('Estimate lines'!F82="","",'Estimate lines'!F82))</f>
        <v/>
      </c>
      <c r="G82" s="15" t="str">
        <f>IF('Estimate lines'!$P82="","",IF('Estimate lines'!G82="","",'Estimate lines'!G82))</f>
        <v/>
      </c>
      <c r="H82" s="15" t="str">
        <f>IF('Estimate lines'!$P82="","",IF('Estimate lines'!H82="","",'Estimate lines'!H82))</f>
        <v/>
      </c>
      <c r="I82" s="11" t="str">
        <f>IF('Estimate lines'!$P82="","",IF('Estimate lines'!I82="","",'Estimate lines'!I82))</f>
        <v/>
      </c>
      <c r="J82" s="11" t="str">
        <f>IF('Estimate lines'!$P82="","",IF('Estimate lines'!J82="","",'Estimate lines'!J82))</f>
        <v/>
      </c>
      <c r="K82" s="16" t="str">
        <f>IF('Estimate lines'!$P82="","",IF('Estimate lines'!K82="","",'Estimate lines'!K82))</f>
        <v/>
      </c>
      <c r="L82" s="11" t="str">
        <f>IF('Estimate lines'!$P82="","",IF('Estimate lines'!L82="","",'Estimate lines'!L82))</f>
        <v/>
      </c>
      <c r="M82" s="11" t="str">
        <f>IF('Estimate lines'!$P82="","",IF('Estimate lines'!M82="","",'Estimate lines'!M82))</f>
        <v/>
      </c>
      <c r="N82" s="11" t="str">
        <f t="shared" si="4"/>
        <v/>
      </c>
      <c r="O82" s="11" t="str">
        <f t="shared" si="5"/>
        <v/>
      </c>
      <c r="P82" s="15" t="str">
        <f>IF(A82="","",'Estimate lines'!N82)</f>
        <v/>
      </c>
      <c r="Q82" s="15" t="str">
        <f>IF(A82="","",'Estimate lines'!O82)</f>
        <v/>
      </c>
    </row>
    <row r="83" spans="1:17" ht="25.05" customHeight="1">
      <c r="A83" s="11" t="str">
        <f>IF('Estimate lines'!$P83="","",IF('Estimate lines'!A83="","",'Estimate lines'!A83))</f>
        <v/>
      </c>
      <c r="B83" s="11" t="str">
        <f>IF('Estimate lines'!$P83="","",IF('Estimate lines'!B83="","",'Estimate lines'!B83))</f>
        <v/>
      </c>
      <c r="C83" s="11" t="str">
        <f>IF('Estimate lines'!$P83="","",IF('Estimate lines'!C83="","",'Estimate lines'!C83))</f>
        <v/>
      </c>
      <c r="D83" s="11" t="str">
        <f>IF('Estimate lines'!$P83="","",IF('Estimate lines'!D83="","",'Estimate lines'!D83))</f>
        <v/>
      </c>
      <c r="E83" s="12" t="str">
        <f>IF('Estimate lines'!$P83="","",IF('Estimate lines'!E83="","",'Estimate lines'!E83))</f>
        <v/>
      </c>
      <c r="F83" s="20" t="str">
        <f>IF('Estimate lines'!$P83="","",IF('Estimate lines'!F83="","",'Estimate lines'!F83))</f>
        <v/>
      </c>
      <c r="G83" s="15" t="str">
        <f>IF('Estimate lines'!$P83="","",IF('Estimate lines'!G83="","",'Estimate lines'!G83))</f>
        <v/>
      </c>
      <c r="H83" s="15" t="str">
        <f>IF('Estimate lines'!$P83="","",IF('Estimate lines'!H83="","",'Estimate lines'!H83))</f>
        <v/>
      </c>
      <c r="I83" s="11" t="str">
        <f>IF('Estimate lines'!$P83="","",IF('Estimate lines'!I83="","",'Estimate lines'!I83))</f>
        <v/>
      </c>
      <c r="J83" s="11" t="str">
        <f>IF('Estimate lines'!$P83="","",IF('Estimate lines'!J83="","",'Estimate lines'!J83))</f>
        <v/>
      </c>
      <c r="K83" s="16" t="str">
        <f>IF('Estimate lines'!$P83="","",IF('Estimate lines'!K83="","",'Estimate lines'!K83))</f>
        <v/>
      </c>
      <c r="L83" s="11" t="str">
        <f>IF('Estimate lines'!$P83="","",IF('Estimate lines'!L83="","",'Estimate lines'!L83))</f>
        <v/>
      </c>
      <c r="M83" s="11" t="str">
        <f>IF('Estimate lines'!$P83="","",IF('Estimate lines'!M83="","",'Estimate lines'!M83))</f>
        <v/>
      </c>
      <c r="N83" s="11" t="str">
        <f t="shared" si="4"/>
        <v/>
      </c>
      <c r="O83" s="11" t="str">
        <f t="shared" si="5"/>
        <v/>
      </c>
      <c r="P83" s="15" t="str">
        <f>IF(A83="","",'Estimate lines'!N83)</f>
        <v/>
      </c>
      <c r="Q83" s="15" t="str">
        <f>IF(A83="","",'Estimate lines'!O83)</f>
        <v/>
      </c>
    </row>
    <row r="84" spans="1:17" ht="25.05" customHeight="1">
      <c r="A84" s="11" t="str">
        <f>IF('Estimate lines'!$P84="","",IF('Estimate lines'!A84="","",'Estimate lines'!A84))</f>
        <v/>
      </c>
      <c r="B84" s="11" t="str">
        <f>IF('Estimate lines'!$P84="","",IF('Estimate lines'!B84="","",'Estimate lines'!B84))</f>
        <v/>
      </c>
      <c r="C84" s="11" t="str">
        <f>IF('Estimate lines'!$P84="","",IF('Estimate lines'!C84="","",'Estimate lines'!C84))</f>
        <v/>
      </c>
      <c r="D84" s="11" t="str">
        <f>IF('Estimate lines'!$P84="","",IF('Estimate lines'!D84="","",'Estimate lines'!D84))</f>
        <v/>
      </c>
      <c r="E84" s="12" t="str">
        <f>IF('Estimate lines'!$P84="","",IF('Estimate lines'!E84="","",'Estimate lines'!E84))</f>
        <v/>
      </c>
      <c r="F84" s="20" t="str">
        <f>IF('Estimate lines'!$P84="","",IF('Estimate lines'!F84="","",'Estimate lines'!F84))</f>
        <v/>
      </c>
      <c r="G84" s="15" t="str">
        <f>IF('Estimate lines'!$P84="","",IF('Estimate lines'!G84="","",'Estimate lines'!G84))</f>
        <v/>
      </c>
      <c r="H84" s="15" t="str">
        <f>IF('Estimate lines'!$P84="","",IF('Estimate lines'!H84="","",'Estimate lines'!H84))</f>
        <v/>
      </c>
      <c r="I84" s="11" t="str">
        <f>IF('Estimate lines'!$P84="","",IF('Estimate lines'!I84="","",'Estimate lines'!I84))</f>
        <v/>
      </c>
      <c r="J84" s="11" t="str">
        <f>IF('Estimate lines'!$P84="","",IF('Estimate lines'!J84="","",'Estimate lines'!J84))</f>
        <v/>
      </c>
      <c r="K84" s="16" t="str">
        <f>IF('Estimate lines'!$P84="","",IF('Estimate lines'!K84="","",'Estimate lines'!K84))</f>
        <v/>
      </c>
      <c r="L84" s="11" t="str">
        <f>IF('Estimate lines'!$P84="","",IF('Estimate lines'!L84="","",'Estimate lines'!L84))</f>
        <v/>
      </c>
      <c r="M84" s="11" t="str">
        <f>IF('Estimate lines'!$P84="","",IF('Estimate lines'!M84="","",'Estimate lines'!M84))</f>
        <v/>
      </c>
      <c r="N84" s="11" t="str">
        <f t="shared" si="4"/>
        <v/>
      </c>
      <c r="O84" s="11" t="str">
        <f t="shared" si="5"/>
        <v/>
      </c>
      <c r="P84" s="15" t="str">
        <f>IF(A84="","",'Estimate lines'!N84)</f>
        <v/>
      </c>
      <c r="Q84" s="15" t="str">
        <f>IF(A84="","",'Estimate lines'!O84)</f>
        <v/>
      </c>
    </row>
    <row r="85" spans="1:17" ht="25.05" customHeight="1">
      <c r="A85" s="11" t="str">
        <f>IF('Estimate lines'!$P85="","",IF('Estimate lines'!A85="","",'Estimate lines'!A85))</f>
        <v/>
      </c>
      <c r="B85" s="11" t="str">
        <f>IF('Estimate lines'!$P85="","",IF('Estimate lines'!B85="","",'Estimate lines'!B85))</f>
        <v/>
      </c>
      <c r="C85" s="11" t="str">
        <f>IF('Estimate lines'!$P85="","",IF('Estimate lines'!C85="","",'Estimate lines'!C85))</f>
        <v/>
      </c>
      <c r="D85" s="11" t="str">
        <f>IF('Estimate lines'!$P85="","",IF('Estimate lines'!D85="","",'Estimate lines'!D85))</f>
        <v/>
      </c>
      <c r="E85" s="12" t="str">
        <f>IF('Estimate lines'!$P85="","",IF('Estimate lines'!E85="","",'Estimate lines'!E85))</f>
        <v/>
      </c>
      <c r="F85" s="20" t="str">
        <f>IF('Estimate lines'!$P85="","",IF('Estimate lines'!F85="","",'Estimate lines'!F85))</f>
        <v/>
      </c>
      <c r="G85" s="15" t="str">
        <f>IF('Estimate lines'!$P85="","",IF('Estimate lines'!G85="","",'Estimate lines'!G85))</f>
        <v/>
      </c>
      <c r="H85" s="15" t="str">
        <f>IF('Estimate lines'!$P85="","",IF('Estimate lines'!H85="","",'Estimate lines'!H85))</f>
        <v/>
      </c>
      <c r="I85" s="11" t="str">
        <f>IF('Estimate lines'!$P85="","",IF('Estimate lines'!I85="","",'Estimate lines'!I85))</f>
        <v/>
      </c>
      <c r="J85" s="11" t="str">
        <f>IF('Estimate lines'!$P85="","",IF('Estimate lines'!J85="","",'Estimate lines'!J85))</f>
        <v/>
      </c>
      <c r="K85" s="16" t="str">
        <f>IF('Estimate lines'!$P85="","",IF('Estimate lines'!K85="","",'Estimate lines'!K85))</f>
        <v/>
      </c>
      <c r="L85" s="11" t="str">
        <f>IF('Estimate lines'!$P85="","",IF('Estimate lines'!L85="","",'Estimate lines'!L85))</f>
        <v/>
      </c>
      <c r="M85" s="11" t="str">
        <f>IF('Estimate lines'!$P85="","",IF('Estimate lines'!M85="","",'Estimate lines'!M85))</f>
        <v/>
      </c>
      <c r="N85" s="11" t="str">
        <f t="shared" si="4"/>
        <v/>
      </c>
      <c r="O85" s="11" t="str">
        <f t="shared" si="5"/>
        <v/>
      </c>
      <c r="P85" s="15" t="str">
        <f>IF(A85="","",'Estimate lines'!N85)</f>
        <v/>
      </c>
      <c r="Q85" s="15" t="str">
        <f>IF(A85="","",'Estimate lines'!O85)</f>
        <v/>
      </c>
    </row>
    <row r="86" spans="1:17" ht="25.05" customHeight="1">
      <c r="A86" s="11" t="str">
        <f>IF('Estimate lines'!$P86="","",IF('Estimate lines'!A86="","",'Estimate lines'!A86))</f>
        <v/>
      </c>
      <c r="B86" s="11" t="str">
        <f>IF('Estimate lines'!$P86="","",IF('Estimate lines'!B86="","",'Estimate lines'!B86))</f>
        <v/>
      </c>
      <c r="C86" s="11" t="str">
        <f>IF('Estimate lines'!$P86="","",IF('Estimate lines'!C86="","",'Estimate lines'!C86))</f>
        <v/>
      </c>
      <c r="D86" s="11" t="str">
        <f>IF('Estimate lines'!$P86="","",IF('Estimate lines'!D86="","",'Estimate lines'!D86))</f>
        <v/>
      </c>
      <c r="E86" s="12" t="str">
        <f>IF('Estimate lines'!$P86="","",IF('Estimate lines'!E86="","",'Estimate lines'!E86))</f>
        <v/>
      </c>
      <c r="F86" s="20" t="str">
        <f>IF('Estimate lines'!$P86="","",IF('Estimate lines'!F86="","",'Estimate lines'!F86))</f>
        <v/>
      </c>
      <c r="G86" s="15" t="str">
        <f>IF('Estimate lines'!$P86="","",IF('Estimate lines'!G86="","",'Estimate lines'!G86))</f>
        <v/>
      </c>
      <c r="H86" s="15" t="str">
        <f>IF('Estimate lines'!$P86="","",IF('Estimate lines'!H86="","",'Estimate lines'!H86))</f>
        <v/>
      </c>
      <c r="I86" s="11" t="str">
        <f>IF('Estimate lines'!$P86="","",IF('Estimate lines'!I86="","",'Estimate lines'!I86))</f>
        <v/>
      </c>
      <c r="J86" s="11" t="str">
        <f>IF('Estimate lines'!$P86="","",IF('Estimate lines'!J86="","",'Estimate lines'!J86))</f>
        <v/>
      </c>
      <c r="K86" s="16" t="str">
        <f>IF('Estimate lines'!$P86="","",IF('Estimate lines'!K86="","",'Estimate lines'!K86))</f>
        <v/>
      </c>
      <c r="L86" s="11" t="str">
        <f>IF('Estimate lines'!$P86="","",IF('Estimate lines'!L86="","",'Estimate lines'!L86))</f>
        <v/>
      </c>
      <c r="M86" s="11" t="str">
        <f>IF('Estimate lines'!$P86="","",IF('Estimate lines'!M86="","",'Estimate lines'!M86))</f>
        <v/>
      </c>
      <c r="N86" s="11" t="str">
        <f t="shared" si="4"/>
        <v/>
      </c>
      <c r="O86" s="11" t="str">
        <f t="shared" si="5"/>
        <v/>
      </c>
      <c r="P86" s="15" t="str">
        <f>IF(A86="","",'Estimate lines'!N86)</f>
        <v/>
      </c>
      <c r="Q86" s="15" t="str">
        <f>IF(A86="","",'Estimate lines'!O86)</f>
        <v/>
      </c>
    </row>
    <row r="87" spans="1:17" ht="25.05" customHeight="1">
      <c r="A87" s="11" t="str">
        <f>IF('Estimate lines'!$P87="","",IF('Estimate lines'!A87="","",'Estimate lines'!A87))</f>
        <v/>
      </c>
      <c r="B87" s="11" t="str">
        <f>IF('Estimate lines'!$P87="","",IF('Estimate lines'!B87="","",'Estimate lines'!B87))</f>
        <v/>
      </c>
      <c r="C87" s="11" t="str">
        <f>IF('Estimate lines'!$P87="","",IF('Estimate lines'!C87="","",'Estimate lines'!C87))</f>
        <v/>
      </c>
      <c r="D87" s="11" t="str">
        <f>IF('Estimate lines'!$P87="","",IF('Estimate lines'!D87="","",'Estimate lines'!D87))</f>
        <v/>
      </c>
      <c r="E87" s="12" t="str">
        <f>IF('Estimate lines'!$P87="","",IF('Estimate lines'!E87="","",'Estimate lines'!E87))</f>
        <v/>
      </c>
      <c r="F87" s="20" t="str">
        <f>IF('Estimate lines'!$P87="","",IF('Estimate lines'!F87="","",'Estimate lines'!F87))</f>
        <v/>
      </c>
      <c r="G87" s="15" t="str">
        <f>IF('Estimate lines'!$P87="","",IF('Estimate lines'!G87="","",'Estimate lines'!G87))</f>
        <v/>
      </c>
      <c r="H87" s="15" t="str">
        <f>IF('Estimate lines'!$P87="","",IF('Estimate lines'!H87="","",'Estimate lines'!H87))</f>
        <v/>
      </c>
      <c r="I87" s="11" t="str">
        <f>IF('Estimate lines'!$P87="","",IF('Estimate lines'!I87="","",'Estimate lines'!I87))</f>
        <v/>
      </c>
      <c r="J87" s="11" t="str">
        <f>IF('Estimate lines'!$P87="","",IF('Estimate lines'!J87="","",'Estimate lines'!J87))</f>
        <v/>
      </c>
      <c r="K87" s="16" t="str">
        <f>IF('Estimate lines'!$P87="","",IF('Estimate lines'!K87="","",'Estimate lines'!K87))</f>
        <v/>
      </c>
      <c r="L87" s="11" t="str">
        <f>IF('Estimate lines'!$P87="","",IF('Estimate lines'!L87="","",'Estimate lines'!L87))</f>
        <v/>
      </c>
      <c r="M87" s="11" t="str">
        <f>IF('Estimate lines'!$P87="","",IF('Estimate lines'!M87="","",'Estimate lines'!M87))</f>
        <v/>
      </c>
      <c r="N87" s="11" t="str">
        <f t="shared" si="4"/>
        <v/>
      </c>
      <c r="O87" s="11" t="str">
        <f t="shared" si="5"/>
        <v/>
      </c>
      <c r="P87" s="15" t="str">
        <f>IF(A87="","",'Estimate lines'!N87)</f>
        <v/>
      </c>
      <c r="Q87" s="15" t="str">
        <f>IF(A87="","",'Estimate lines'!O87)</f>
        <v/>
      </c>
    </row>
    <row r="88" spans="1:17" ht="25.05" customHeight="1">
      <c r="A88" s="11" t="str">
        <f>IF('Estimate lines'!$P88="","",IF('Estimate lines'!A88="","",'Estimate lines'!A88))</f>
        <v/>
      </c>
      <c r="B88" s="11" t="str">
        <f>IF('Estimate lines'!$P88="","",IF('Estimate lines'!B88="","",'Estimate lines'!B88))</f>
        <v/>
      </c>
      <c r="C88" s="11" t="str">
        <f>IF('Estimate lines'!$P88="","",IF('Estimate lines'!C88="","",'Estimate lines'!C88))</f>
        <v/>
      </c>
      <c r="D88" s="11" t="str">
        <f>IF('Estimate lines'!$P88="","",IF('Estimate lines'!D88="","",'Estimate lines'!D88))</f>
        <v/>
      </c>
      <c r="E88" s="12" t="str">
        <f>IF('Estimate lines'!$P88="","",IF('Estimate lines'!E88="","",'Estimate lines'!E88))</f>
        <v/>
      </c>
      <c r="F88" s="20" t="str">
        <f>IF('Estimate lines'!$P88="","",IF('Estimate lines'!F88="","",'Estimate lines'!F88))</f>
        <v/>
      </c>
      <c r="G88" s="15" t="str">
        <f>IF('Estimate lines'!$P88="","",IF('Estimate lines'!G88="","",'Estimate lines'!G88))</f>
        <v/>
      </c>
      <c r="H88" s="15" t="str">
        <f>IF('Estimate lines'!$P88="","",IF('Estimate lines'!H88="","",'Estimate lines'!H88))</f>
        <v/>
      </c>
      <c r="I88" s="11" t="str">
        <f>IF('Estimate lines'!$P88="","",IF('Estimate lines'!I88="","",'Estimate lines'!I88))</f>
        <v/>
      </c>
      <c r="J88" s="11" t="str">
        <f>IF('Estimate lines'!$P88="","",IF('Estimate lines'!J88="","",'Estimate lines'!J88))</f>
        <v/>
      </c>
      <c r="K88" s="16" t="str">
        <f>IF('Estimate lines'!$P88="","",IF('Estimate lines'!K88="","",'Estimate lines'!K88))</f>
        <v/>
      </c>
      <c r="L88" s="11" t="str">
        <f>IF('Estimate lines'!$P88="","",IF('Estimate lines'!L88="","",'Estimate lines'!L88))</f>
        <v/>
      </c>
      <c r="M88" s="11" t="str">
        <f>IF('Estimate lines'!$P88="","",IF('Estimate lines'!M88="","",'Estimate lines'!M88))</f>
        <v/>
      </c>
      <c r="N88" s="11" t="str">
        <f t="shared" si="4"/>
        <v/>
      </c>
      <c r="O88" s="11" t="str">
        <f t="shared" si="5"/>
        <v/>
      </c>
      <c r="P88" s="15" t="str">
        <f>IF(A88="","",'Estimate lines'!N88)</f>
        <v/>
      </c>
      <c r="Q88" s="15" t="str">
        <f>IF(A88="","",'Estimate lines'!O88)</f>
        <v/>
      </c>
    </row>
    <row r="89" spans="1:17" ht="25.05" customHeight="1">
      <c r="A89" s="11" t="str">
        <f>IF('Estimate lines'!$P89="","",IF('Estimate lines'!A89="","",'Estimate lines'!A89))</f>
        <v/>
      </c>
      <c r="B89" s="11" t="str">
        <f>IF('Estimate lines'!$P89="","",IF('Estimate lines'!B89="","",'Estimate lines'!B89))</f>
        <v/>
      </c>
      <c r="C89" s="11" t="str">
        <f>IF('Estimate lines'!$P89="","",IF('Estimate lines'!C89="","",'Estimate lines'!C89))</f>
        <v/>
      </c>
      <c r="D89" s="11" t="str">
        <f>IF('Estimate lines'!$P89="","",IF('Estimate lines'!D89="","",'Estimate lines'!D89))</f>
        <v/>
      </c>
      <c r="E89" s="12" t="str">
        <f>IF('Estimate lines'!$P89="","",IF('Estimate lines'!E89="","",'Estimate lines'!E89))</f>
        <v/>
      </c>
      <c r="F89" s="20" t="str">
        <f>IF('Estimate lines'!$P89="","",IF('Estimate lines'!F89="","",'Estimate lines'!F89))</f>
        <v/>
      </c>
      <c r="G89" s="15" t="str">
        <f>IF('Estimate lines'!$P89="","",IF('Estimate lines'!G89="","",'Estimate lines'!G89))</f>
        <v/>
      </c>
      <c r="H89" s="15" t="str">
        <f>IF('Estimate lines'!$P89="","",IF('Estimate lines'!H89="","",'Estimate lines'!H89))</f>
        <v/>
      </c>
      <c r="I89" s="11" t="str">
        <f>IF('Estimate lines'!$P89="","",IF('Estimate lines'!I89="","",'Estimate lines'!I89))</f>
        <v/>
      </c>
      <c r="J89" s="11" t="str">
        <f>IF('Estimate lines'!$P89="","",IF('Estimate lines'!J89="","",'Estimate lines'!J89))</f>
        <v/>
      </c>
      <c r="K89" s="16" t="str">
        <f>IF('Estimate lines'!$P89="","",IF('Estimate lines'!K89="","",'Estimate lines'!K89))</f>
        <v/>
      </c>
      <c r="L89" s="11" t="str">
        <f>IF('Estimate lines'!$P89="","",IF('Estimate lines'!L89="","",'Estimate lines'!L89))</f>
        <v/>
      </c>
      <c r="M89" s="11" t="str">
        <f>IF('Estimate lines'!$P89="","",IF('Estimate lines'!M89="","",'Estimate lines'!M89))</f>
        <v/>
      </c>
      <c r="N89" s="11" t="str">
        <f t="shared" si="4"/>
        <v/>
      </c>
      <c r="O89" s="11" t="str">
        <f t="shared" si="5"/>
        <v/>
      </c>
      <c r="P89" s="15" t="str">
        <f>IF(A89="","",'Estimate lines'!N89)</f>
        <v/>
      </c>
      <c r="Q89" s="15" t="str">
        <f>IF(A89="","",'Estimate lines'!O89)</f>
        <v/>
      </c>
    </row>
    <row r="90" spans="1:17" ht="25.05" customHeight="1">
      <c r="A90" s="11" t="str">
        <f>IF('Estimate lines'!$P90="","",IF('Estimate lines'!A90="","",'Estimate lines'!A90))</f>
        <v/>
      </c>
      <c r="B90" s="11" t="str">
        <f>IF('Estimate lines'!$P90="","",IF('Estimate lines'!B90="","",'Estimate lines'!B90))</f>
        <v/>
      </c>
      <c r="C90" s="11" t="str">
        <f>IF('Estimate lines'!$P90="","",IF('Estimate lines'!C90="","",'Estimate lines'!C90))</f>
        <v/>
      </c>
      <c r="D90" s="11" t="str">
        <f>IF('Estimate lines'!$P90="","",IF('Estimate lines'!D90="","",'Estimate lines'!D90))</f>
        <v/>
      </c>
      <c r="E90" s="12" t="str">
        <f>IF('Estimate lines'!$P90="","",IF('Estimate lines'!E90="","",'Estimate lines'!E90))</f>
        <v/>
      </c>
      <c r="F90" s="20" t="str">
        <f>IF('Estimate lines'!$P90="","",IF('Estimate lines'!F90="","",'Estimate lines'!F90))</f>
        <v/>
      </c>
      <c r="G90" s="15" t="str">
        <f>IF('Estimate lines'!$P90="","",IF('Estimate lines'!G90="","",'Estimate lines'!G90))</f>
        <v/>
      </c>
      <c r="H90" s="15" t="str">
        <f>IF('Estimate lines'!$P90="","",IF('Estimate lines'!H90="","",'Estimate lines'!H90))</f>
        <v/>
      </c>
      <c r="I90" s="11" t="str">
        <f>IF('Estimate lines'!$P90="","",IF('Estimate lines'!I90="","",'Estimate lines'!I90))</f>
        <v/>
      </c>
      <c r="J90" s="11" t="str">
        <f>IF('Estimate lines'!$P90="","",IF('Estimate lines'!J90="","",'Estimate lines'!J90))</f>
        <v/>
      </c>
      <c r="K90" s="16" t="str">
        <f>IF('Estimate lines'!$P90="","",IF('Estimate lines'!K90="","",'Estimate lines'!K90))</f>
        <v/>
      </c>
      <c r="L90" s="11" t="str">
        <f>IF('Estimate lines'!$P90="","",IF('Estimate lines'!L90="","",'Estimate lines'!L90))</f>
        <v/>
      </c>
      <c r="M90" s="11" t="str">
        <f>IF('Estimate lines'!$P90="","",IF('Estimate lines'!M90="","",'Estimate lines'!M90))</f>
        <v/>
      </c>
      <c r="N90" s="11" t="str">
        <f t="shared" si="4"/>
        <v/>
      </c>
      <c r="O90" s="11" t="str">
        <f t="shared" si="5"/>
        <v/>
      </c>
      <c r="P90" s="15" t="str">
        <f>IF(A90="","",'Estimate lines'!N90)</f>
        <v/>
      </c>
      <c r="Q90" s="15" t="str">
        <f>IF(A90="","",'Estimate lines'!O90)</f>
        <v/>
      </c>
    </row>
    <row r="91" spans="1:17" ht="25.05" customHeight="1">
      <c r="A91" s="11" t="str">
        <f>IF('Estimate lines'!$P91="","",IF('Estimate lines'!A91="","",'Estimate lines'!A91))</f>
        <v/>
      </c>
      <c r="B91" s="11" t="str">
        <f>IF('Estimate lines'!$P91="","",IF('Estimate lines'!B91="","",'Estimate lines'!B91))</f>
        <v/>
      </c>
      <c r="C91" s="11" t="str">
        <f>IF('Estimate lines'!$P91="","",IF('Estimate lines'!C91="","",'Estimate lines'!C91))</f>
        <v/>
      </c>
      <c r="D91" s="11" t="str">
        <f>IF('Estimate lines'!$P91="","",IF('Estimate lines'!D91="","",'Estimate lines'!D91))</f>
        <v/>
      </c>
      <c r="E91" s="12" t="str">
        <f>IF('Estimate lines'!$P91="","",IF('Estimate lines'!E91="","",'Estimate lines'!E91))</f>
        <v/>
      </c>
      <c r="F91" s="20" t="str">
        <f>IF('Estimate lines'!$P91="","",IF('Estimate lines'!F91="","",'Estimate lines'!F91))</f>
        <v/>
      </c>
      <c r="G91" s="15" t="str">
        <f>IF('Estimate lines'!$P91="","",IF('Estimate lines'!G91="","",'Estimate lines'!G91))</f>
        <v/>
      </c>
      <c r="H91" s="15" t="str">
        <f>IF('Estimate lines'!$P91="","",IF('Estimate lines'!H91="","",'Estimate lines'!H91))</f>
        <v/>
      </c>
      <c r="I91" s="11" t="str">
        <f>IF('Estimate lines'!$P91="","",IF('Estimate lines'!I91="","",'Estimate lines'!I91))</f>
        <v/>
      </c>
      <c r="J91" s="11" t="str">
        <f>IF('Estimate lines'!$P91="","",IF('Estimate lines'!J91="","",'Estimate lines'!J91))</f>
        <v/>
      </c>
      <c r="K91" s="16" t="str">
        <f>IF('Estimate lines'!$P91="","",IF('Estimate lines'!K91="","",'Estimate lines'!K91))</f>
        <v/>
      </c>
      <c r="L91" s="11" t="str">
        <f>IF('Estimate lines'!$P91="","",IF('Estimate lines'!L91="","",'Estimate lines'!L91))</f>
        <v/>
      </c>
      <c r="M91" s="11" t="str">
        <f>IF('Estimate lines'!$P91="","",IF('Estimate lines'!M91="","",'Estimate lines'!M91))</f>
        <v/>
      </c>
      <c r="N91" s="11" t="str">
        <f t="shared" si="4"/>
        <v/>
      </c>
      <c r="O91" s="11" t="str">
        <f t="shared" si="5"/>
        <v/>
      </c>
      <c r="P91" s="15" t="str">
        <f>IF(A91="","",'Estimate lines'!N91)</f>
        <v/>
      </c>
      <c r="Q91" s="15" t="str">
        <f>IF(A91="","",'Estimate lines'!O91)</f>
        <v/>
      </c>
    </row>
    <row r="92" spans="1:17" ht="25.05" customHeight="1">
      <c r="A92" s="11" t="str">
        <f>IF('Estimate lines'!$P92="","",IF('Estimate lines'!A92="","",'Estimate lines'!A92))</f>
        <v/>
      </c>
      <c r="B92" s="11" t="str">
        <f>IF('Estimate lines'!$P92="","",IF('Estimate lines'!B92="","",'Estimate lines'!B92))</f>
        <v/>
      </c>
      <c r="C92" s="11" t="str">
        <f>IF('Estimate lines'!$P92="","",IF('Estimate lines'!C92="","",'Estimate lines'!C92))</f>
        <v/>
      </c>
      <c r="D92" s="11" t="str">
        <f>IF('Estimate lines'!$P92="","",IF('Estimate lines'!D92="","",'Estimate lines'!D92))</f>
        <v/>
      </c>
      <c r="E92" s="12" t="str">
        <f>IF('Estimate lines'!$P92="","",IF('Estimate lines'!E92="","",'Estimate lines'!E92))</f>
        <v/>
      </c>
      <c r="F92" s="20" t="str">
        <f>IF('Estimate lines'!$P92="","",IF('Estimate lines'!F92="","",'Estimate lines'!F92))</f>
        <v/>
      </c>
      <c r="G92" s="15" t="str">
        <f>IF('Estimate lines'!$P92="","",IF('Estimate lines'!G92="","",'Estimate lines'!G92))</f>
        <v/>
      </c>
      <c r="H92" s="15" t="str">
        <f>IF('Estimate lines'!$P92="","",IF('Estimate lines'!H92="","",'Estimate lines'!H92))</f>
        <v/>
      </c>
      <c r="I92" s="11" t="str">
        <f>IF('Estimate lines'!$P92="","",IF('Estimate lines'!I92="","",'Estimate lines'!I92))</f>
        <v/>
      </c>
      <c r="J92" s="11" t="str">
        <f>IF('Estimate lines'!$P92="","",IF('Estimate lines'!J92="","",'Estimate lines'!J92))</f>
        <v/>
      </c>
      <c r="K92" s="16" t="str">
        <f>IF('Estimate lines'!$P92="","",IF('Estimate lines'!K92="","",'Estimate lines'!K92))</f>
        <v/>
      </c>
      <c r="L92" s="11" t="str">
        <f>IF('Estimate lines'!$P92="","",IF('Estimate lines'!L92="","",'Estimate lines'!L92))</f>
        <v/>
      </c>
      <c r="M92" s="11" t="str">
        <f>IF('Estimate lines'!$P92="","",IF('Estimate lines'!M92="","",'Estimate lines'!M92))</f>
        <v/>
      </c>
      <c r="N92" s="11" t="str">
        <f t="shared" si="4"/>
        <v/>
      </c>
      <c r="O92" s="11" t="str">
        <f t="shared" si="5"/>
        <v/>
      </c>
      <c r="P92" s="15" t="str">
        <f>IF(A92="","",'Estimate lines'!N92)</f>
        <v/>
      </c>
      <c r="Q92" s="15" t="str">
        <f>IF(A92="","",'Estimate lines'!O92)</f>
        <v/>
      </c>
    </row>
    <row r="93" spans="1:17" ht="25.05" customHeight="1">
      <c r="A93" s="11" t="str">
        <f>IF('Estimate lines'!$P93="","",IF('Estimate lines'!A93="","",'Estimate lines'!A93))</f>
        <v/>
      </c>
      <c r="B93" s="11" t="str">
        <f>IF('Estimate lines'!$P93="","",IF('Estimate lines'!B93="","",'Estimate lines'!B93))</f>
        <v/>
      </c>
      <c r="C93" s="11" t="str">
        <f>IF('Estimate lines'!$P93="","",IF('Estimate lines'!C93="","",'Estimate lines'!C93))</f>
        <v/>
      </c>
      <c r="D93" s="11" t="str">
        <f>IF('Estimate lines'!$P93="","",IF('Estimate lines'!D93="","",'Estimate lines'!D93))</f>
        <v/>
      </c>
      <c r="E93" s="12" t="str">
        <f>IF('Estimate lines'!$P93="","",IF('Estimate lines'!E93="","",'Estimate lines'!E93))</f>
        <v/>
      </c>
      <c r="F93" s="20" t="str">
        <f>IF('Estimate lines'!$P93="","",IF('Estimate lines'!F93="","",'Estimate lines'!F93))</f>
        <v/>
      </c>
      <c r="G93" s="15" t="str">
        <f>IF('Estimate lines'!$P93="","",IF('Estimate lines'!G93="","",'Estimate lines'!G93))</f>
        <v/>
      </c>
      <c r="H93" s="15" t="str">
        <f>IF('Estimate lines'!$P93="","",IF('Estimate lines'!H93="","",'Estimate lines'!H93))</f>
        <v/>
      </c>
      <c r="I93" s="11" t="str">
        <f>IF('Estimate lines'!$P93="","",IF('Estimate lines'!I93="","",'Estimate lines'!I93))</f>
        <v/>
      </c>
      <c r="J93" s="11" t="str">
        <f>IF('Estimate lines'!$P93="","",IF('Estimate lines'!J93="","",'Estimate lines'!J93))</f>
        <v/>
      </c>
      <c r="K93" s="16" t="str">
        <f>IF('Estimate lines'!$P93="","",IF('Estimate lines'!K93="","",'Estimate lines'!K93))</f>
        <v/>
      </c>
      <c r="L93" s="11" t="str">
        <f>IF('Estimate lines'!$P93="","",IF('Estimate lines'!L93="","",'Estimate lines'!L93))</f>
        <v/>
      </c>
      <c r="M93" s="11" t="str">
        <f>IF('Estimate lines'!$P93="","",IF('Estimate lines'!M93="","",'Estimate lines'!M93))</f>
        <v/>
      </c>
      <c r="N93" s="11" t="str">
        <f t="shared" si="4"/>
        <v/>
      </c>
      <c r="O93" s="11" t="str">
        <f t="shared" si="5"/>
        <v/>
      </c>
      <c r="P93" s="15" t="str">
        <f>IF(A93="","",'Estimate lines'!N93)</f>
        <v/>
      </c>
      <c r="Q93" s="15" t="str">
        <f>IF(A93="","",'Estimate lines'!O93)</f>
        <v/>
      </c>
    </row>
    <row r="94" spans="1:17" ht="25.05" customHeight="1">
      <c r="A94" s="11" t="str">
        <f>IF('Estimate lines'!$P94="","",IF('Estimate lines'!A94="","",'Estimate lines'!A94))</f>
        <v/>
      </c>
      <c r="B94" s="11" t="str">
        <f>IF('Estimate lines'!$P94="","",IF('Estimate lines'!B94="","",'Estimate lines'!B94))</f>
        <v/>
      </c>
      <c r="C94" s="11" t="str">
        <f>IF('Estimate lines'!$P94="","",IF('Estimate lines'!C94="","",'Estimate lines'!C94))</f>
        <v/>
      </c>
      <c r="D94" s="11" t="str">
        <f>IF('Estimate lines'!$P94="","",IF('Estimate lines'!D94="","",'Estimate lines'!D94))</f>
        <v/>
      </c>
      <c r="E94" s="12" t="str">
        <f>IF('Estimate lines'!$P94="","",IF('Estimate lines'!E94="","",'Estimate lines'!E94))</f>
        <v/>
      </c>
      <c r="F94" s="20" t="str">
        <f>IF('Estimate lines'!$P94="","",IF('Estimate lines'!F94="","",'Estimate lines'!F94))</f>
        <v/>
      </c>
      <c r="G94" s="15" t="str">
        <f>IF('Estimate lines'!$P94="","",IF('Estimate lines'!G94="","",'Estimate lines'!G94))</f>
        <v/>
      </c>
      <c r="H94" s="15" t="str">
        <f>IF('Estimate lines'!$P94="","",IF('Estimate lines'!H94="","",'Estimate lines'!H94))</f>
        <v/>
      </c>
      <c r="I94" s="11" t="str">
        <f>IF('Estimate lines'!$P94="","",IF('Estimate lines'!I94="","",'Estimate lines'!I94))</f>
        <v/>
      </c>
      <c r="J94" s="11" t="str">
        <f>IF('Estimate lines'!$P94="","",IF('Estimate lines'!J94="","",'Estimate lines'!J94))</f>
        <v/>
      </c>
      <c r="K94" s="16" t="str">
        <f>IF('Estimate lines'!$P94="","",IF('Estimate lines'!K94="","",'Estimate lines'!K94))</f>
        <v/>
      </c>
      <c r="L94" s="11" t="str">
        <f>IF('Estimate lines'!$P94="","",IF('Estimate lines'!L94="","",'Estimate lines'!L94))</f>
        <v/>
      </c>
      <c r="M94" s="11" t="str">
        <f>IF('Estimate lines'!$P94="","",IF('Estimate lines'!M94="","",'Estimate lines'!M94))</f>
        <v/>
      </c>
      <c r="N94" s="11" t="str">
        <f t="shared" si="4"/>
        <v/>
      </c>
      <c r="O94" s="11" t="str">
        <f t="shared" si="5"/>
        <v/>
      </c>
      <c r="P94" s="15" t="str">
        <f>IF(A94="","",'Estimate lines'!N94)</f>
        <v/>
      </c>
      <c r="Q94" s="15" t="str">
        <f>IF(A94="","",'Estimate lines'!O94)</f>
        <v/>
      </c>
    </row>
    <row r="95" spans="1:17" ht="25.05" customHeight="1">
      <c r="A95" s="11" t="str">
        <f>IF('Estimate lines'!$P95="","",IF('Estimate lines'!A95="","",'Estimate lines'!A95))</f>
        <v/>
      </c>
      <c r="B95" s="11" t="str">
        <f>IF('Estimate lines'!$P95="","",IF('Estimate lines'!B95="","",'Estimate lines'!B95))</f>
        <v/>
      </c>
      <c r="C95" s="11" t="str">
        <f>IF('Estimate lines'!$P95="","",IF('Estimate lines'!C95="","",'Estimate lines'!C95))</f>
        <v/>
      </c>
      <c r="D95" s="11" t="str">
        <f>IF('Estimate lines'!$P95="","",IF('Estimate lines'!D95="","",'Estimate lines'!D95))</f>
        <v/>
      </c>
      <c r="E95" s="12" t="str">
        <f>IF('Estimate lines'!$P95="","",IF('Estimate lines'!E95="","",'Estimate lines'!E95))</f>
        <v/>
      </c>
      <c r="F95" s="20" t="str">
        <f>IF('Estimate lines'!$P95="","",IF('Estimate lines'!F95="","",'Estimate lines'!F95))</f>
        <v/>
      </c>
      <c r="G95" s="15" t="str">
        <f>IF('Estimate lines'!$P95="","",IF('Estimate lines'!G95="","",'Estimate lines'!G95))</f>
        <v/>
      </c>
      <c r="H95" s="15" t="str">
        <f>IF('Estimate lines'!$P95="","",IF('Estimate lines'!H95="","",'Estimate lines'!H95))</f>
        <v/>
      </c>
      <c r="I95" s="11" t="str">
        <f>IF('Estimate lines'!$P95="","",IF('Estimate lines'!I95="","",'Estimate lines'!I95))</f>
        <v/>
      </c>
      <c r="J95" s="11" t="str">
        <f>IF('Estimate lines'!$P95="","",IF('Estimate lines'!J95="","",'Estimate lines'!J95))</f>
        <v/>
      </c>
      <c r="K95" s="16" t="str">
        <f>IF('Estimate lines'!$P95="","",IF('Estimate lines'!K95="","",'Estimate lines'!K95))</f>
        <v/>
      </c>
      <c r="L95" s="11" t="str">
        <f>IF('Estimate lines'!$P95="","",IF('Estimate lines'!L95="","",'Estimate lines'!L95))</f>
        <v/>
      </c>
      <c r="M95" s="11" t="str">
        <f>IF('Estimate lines'!$P95="","",IF('Estimate lines'!M95="","",'Estimate lines'!M95))</f>
        <v/>
      </c>
      <c r="N95" s="11" t="str">
        <f t="shared" si="4"/>
        <v/>
      </c>
      <c r="O95" s="11" t="str">
        <f t="shared" si="5"/>
        <v/>
      </c>
      <c r="P95" s="15" t="str">
        <f>IF(A95="","",'Estimate lines'!N95)</f>
        <v/>
      </c>
      <c r="Q95" s="15" t="str">
        <f>IF(A95="","",'Estimate lines'!O95)</f>
        <v/>
      </c>
    </row>
    <row r="96" spans="1:17" ht="25.05" customHeight="1">
      <c r="A96" s="11" t="str">
        <f>IF('Estimate lines'!$P96="","",IF('Estimate lines'!A96="","",'Estimate lines'!A96))</f>
        <v/>
      </c>
      <c r="B96" s="11" t="str">
        <f>IF('Estimate lines'!$P96="","",IF('Estimate lines'!B96="","",'Estimate lines'!B96))</f>
        <v/>
      </c>
      <c r="C96" s="11" t="str">
        <f>IF('Estimate lines'!$P96="","",IF('Estimate lines'!C96="","",'Estimate lines'!C96))</f>
        <v/>
      </c>
      <c r="D96" s="11" t="str">
        <f>IF('Estimate lines'!$P96="","",IF('Estimate lines'!D96="","",'Estimate lines'!D96))</f>
        <v/>
      </c>
      <c r="E96" s="12" t="str">
        <f>IF('Estimate lines'!$P96="","",IF('Estimate lines'!E96="","",'Estimate lines'!E96))</f>
        <v/>
      </c>
      <c r="F96" s="20" t="str">
        <f>IF('Estimate lines'!$P96="","",IF('Estimate lines'!F96="","",'Estimate lines'!F96))</f>
        <v/>
      </c>
      <c r="G96" s="15" t="str">
        <f>IF('Estimate lines'!$P96="","",IF('Estimate lines'!G96="","",'Estimate lines'!G96))</f>
        <v/>
      </c>
      <c r="H96" s="15" t="str">
        <f>IF('Estimate lines'!$P96="","",IF('Estimate lines'!H96="","",'Estimate lines'!H96))</f>
        <v/>
      </c>
      <c r="I96" s="11" t="str">
        <f>IF('Estimate lines'!$P96="","",IF('Estimate lines'!I96="","",'Estimate lines'!I96))</f>
        <v/>
      </c>
      <c r="J96" s="11" t="str">
        <f>IF('Estimate lines'!$P96="","",IF('Estimate lines'!J96="","",'Estimate lines'!J96))</f>
        <v/>
      </c>
      <c r="K96" s="16" t="str">
        <f>IF('Estimate lines'!$P96="","",IF('Estimate lines'!K96="","",'Estimate lines'!K96))</f>
        <v/>
      </c>
      <c r="L96" s="11" t="str">
        <f>IF('Estimate lines'!$P96="","",IF('Estimate lines'!L96="","",'Estimate lines'!L96))</f>
        <v/>
      </c>
      <c r="M96" s="11" t="str">
        <f>IF('Estimate lines'!$P96="","",IF('Estimate lines'!M96="","",'Estimate lines'!M96))</f>
        <v/>
      </c>
      <c r="N96" s="11" t="str">
        <f t="shared" si="4"/>
        <v/>
      </c>
      <c r="O96" s="11" t="str">
        <f t="shared" si="5"/>
        <v/>
      </c>
      <c r="P96" s="15" t="str">
        <f>IF(A96="","",'Estimate lines'!N96)</f>
        <v/>
      </c>
      <c r="Q96" s="15" t="str">
        <f>IF(A96="","",'Estimate lines'!O96)</f>
        <v/>
      </c>
    </row>
    <row r="97" spans="1:17" ht="25.05" customHeight="1">
      <c r="A97" s="11" t="str">
        <f>IF('Estimate lines'!$P97="","",IF('Estimate lines'!A97="","",'Estimate lines'!A97))</f>
        <v/>
      </c>
      <c r="B97" s="11" t="str">
        <f>IF('Estimate lines'!$P97="","",IF('Estimate lines'!B97="","",'Estimate lines'!B97))</f>
        <v/>
      </c>
      <c r="C97" s="11" t="str">
        <f>IF('Estimate lines'!$P97="","",IF('Estimate lines'!C97="","",'Estimate lines'!C97))</f>
        <v/>
      </c>
      <c r="D97" s="11" t="str">
        <f>IF('Estimate lines'!$P97="","",IF('Estimate lines'!D97="","",'Estimate lines'!D97))</f>
        <v/>
      </c>
      <c r="E97" s="12" t="str">
        <f>IF('Estimate lines'!$P97="","",IF('Estimate lines'!E97="","",'Estimate lines'!E97))</f>
        <v/>
      </c>
      <c r="F97" s="20" t="str">
        <f>IF('Estimate lines'!$P97="","",IF('Estimate lines'!F97="","",'Estimate lines'!F97))</f>
        <v/>
      </c>
      <c r="G97" s="15" t="str">
        <f>IF('Estimate lines'!$P97="","",IF('Estimate lines'!G97="","",'Estimate lines'!G97))</f>
        <v/>
      </c>
      <c r="H97" s="15" t="str">
        <f>IF('Estimate lines'!$P97="","",IF('Estimate lines'!H97="","",'Estimate lines'!H97))</f>
        <v/>
      </c>
      <c r="I97" s="11" t="str">
        <f>IF('Estimate lines'!$P97="","",IF('Estimate lines'!I97="","",'Estimate lines'!I97))</f>
        <v/>
      </c>
      <c r="J97" s="11" t="str">
        <f>IF('Estimate lines'!$P97="","",IF('Estimate lines'!J97="","",'Estimate lines'!J97))</f>
        <v/>
      </c>
      <c r="K97" s="16" t="str">
        <f>IF('Estimate lines'!$P97="","",IF('Estimate lines'!K97="","",'Estimate lines'!K97))</f>
        <v/>
      </c>
      <c r="L97" s="11" t="str">
        <f>IF('Estimate lines'!$P97="","",IF('Estimate lines'!L97="","",'Estimate lines'!L97))</f>
        <v/>
      </c>
      <c r="M97" s="11" t="str">
        <f>IF('Estimate lines'!$P97="","",IF('Estimate lines'!M97="","",'Estimate lines'!M97))</f>
        <v/>
      </c>
      <c r="N97" s="11" t="str">
        <f t="shared" si="4"/>
        <v/>
      </c>
      <c r="O97" s="11" t="str">
        <f t="shared" si="5"/>
        <v/>
      </c>
      <c r="P97" s="15" t="str">
        <f>IF(A97="","",'Estimate lines'!N97)</f>
        <v/>
      </c>
      <c r="Q97" s="15" t="str">
        <f>IF(A97="","",'Estimate lines'!O97)</f>
        <v/>
      </c>
    </row>
    <row r="98" spans="1:17" ht="25.05" customHeight="1">
      <c r="A98" s="11" t="str">
        <f>IF('Estimate lines'!$P98="","",IF('Estimate lines'!A98="","",'Estimate lines'!A98))</f>
        <v/>
      </c>
      <c r="B98" s="11" t="str">
        <f>IF('Estimate lines'!$P98="","",IF('Estimate lines'!B98="","",'Estimate lines'!B98))</f>
        <v/>
      </c>
      <c r="C98" s="11" t="str">
        <f>IF('Estimate lines'!$P98="","",IF('Estimate lines'!C98="","",'Estimate lines'!C98))</f>
        <v/>
      </c>
      <c r="D98" s="11" t="str">
        <f>IF('Estimate lines'!$P98="","",IF('Estimate lines'!D98="","",'Estimate lines'!D98))</f>
        <v/>
      </c>
      <c r="E98" s="12" t="str">
        <f>IF('Estimate lines'!$P98="","",IF('Estimate lines'!E98="","",'Estimate lines'!E98))</f>
        <v/>
      </c>
      <c r="F98" s="20" t="str">
        <f>IF('Estimate lines'!$P98="","",IF('Estimate lines'!F98="","",'Estimate lines'!F98))</f>
        <v/>
      </c>
      <c r="G98" s="15" t="str">
        <f>IF('Estimate lines'!$P98="","",IF('Estimate lines'!G98="","",'Estimate lines'!G98))</f>
        <v/>
      </c>
      <c r="H98" s="15" t="str">
        <f>IF('Estimate lines'!$P98="","",IF('Estimate lines'!H98="","",'Estimate lines'!H98))</f>
        <v/>
      </c>
      <c r="I98" s="11" t="str">
        <f>IF('Estimate lines'!$P98="","",IF('Estimate lines'!I98="","",'Estimate lines'!I98))</f>
        <v/>
      </c>
      <c r="J98" s="11" t="str">
        <f>IF('Estimate lines'!$P98="","",IF('Estimate lines'!J98="","",'Estimate lines'!J98))</f>
        <v/>
      </c>
      <c r="K98" s="16" t="str">
        <f>IF('Estimate lines'!$P98="","",IF('Estimate lines'!K98="","",'Estimate lines'!K98))</f>
        <v/>
      </c>
      <c r="L98" s="11" t="str">
        <f>IF('Estimate lines'!$P98="","",IF('Estimate lines'!L98="","",'Estimate lines'!L98))</f>
        <v/>
      </c>
      <c r="M98" s="11" t="str">
        <f>IF('Estimate lines'!$P98="","",IF('Estimate lines'!M98="","",'Estimate lines'!M98))</f>
        <v/>
      </c>
      <c r="N98" s="11" t="str">
        <f t="shared" si="4"/>
        <v/>
      </c>
      <c r="O98" s="11" t="str">
        <f t="shared" si="5"/>
        <v/>
      </c>
      <c r="P98" s="15" t="str">
        <f>IF(A98="","",'Estimate lines'!N98)</f>
        <v/>
      </c>
      <c r="Q98" s="15" t="str">
        <f>IF(A98="","",'Estimate lines'!O98)</f>
        <v/>
      </c>
    </row>
    <row r="99" spans="1:17" ht="25.05" customHeight="1">
      <c r="A99" s="11" t="str">
        <f>IF('Estimate lines'!$P99="","",IF('Estimate lines'!A99="","",'Estimate lines'!A99))</f>
        <v/>
      </c>
      <c r="B99" s="11" t="str">
        <f>IF('Estimate lines'!$P99="","",IF('Estimate lines'!B99="","",'Estimate lines'!B99))</f>
        <v/>
      </c>
      <c r="C99" s="11" t="str">
        <f>IF('Estimate lines'!$P99="","",IF('Estimate lines'!C99="","",'Estimate lines'!C99))</f>
        <v/>
      </c>
      <c r="D99" s="11" t="str">
        <f>IF('Estimate lines'!$P99="","",IF('Estimate lines'!D99="","",'Estimate lines'!D99))</f>
        <v/>
      </c>
      <c r="E99" s="12" t="str">
        <f>IF('Estimate lines'!$P99="","",IF('Estimate lines'!E99="","",'Estimate lines'!E99))</f>
        <v/>
      </c>
      <c r="F99" s="20" t="str">
        <f>IF('Estimate lines'!$P99="","",IF('Estimate lines'!F99="","",'Estimate lines'!F99))</f>
        <v/>
      </c>
      <c r="G99" s="15" t="str">
        <f>IF('Estimate lines'!$P99="","",IF('Estimate lines'!G99="","",'Estimate lines'!G99))</f>
        <v/>
      </c>
      <c r="H99" s="15" t="str">
        <f>IF('Estimate lines'!$P99="","",IF('Estimate lines'!H99="","",'Estimate lines'!H99))</f>
        <v/>
      </c>
      <c r="I99" s="11" t="str">
        <f>IF('Estimate lines'!$P99="","",IF('Estimate lines'!I99="","",'Estimate lines'!I99))</f>
        <v/>
      </c>
      <c r="J99" s="11" t="str">
        <f>IF('Estimate lines'!$P99="","",IF('Estimate lines'!J99="","",'Estimate lines'!J99))</f>
        <v/>
      </c>
      <c r="K99" s="16" t="str">
        <f>IF('Estimate lines'!$P99="","",IF('Estimate lines'!K99="","",'Estimate lines'!K99))</f>
        <v/>
      </c>
      <c r="L99" s="11" t="str">
        <f>IF('Estimate lines'!$P99="","",IF('Estimate lines'!L99="","",'Estimate lines'!L99))</f>
        <v/>
      </c>
      <c r="M99" s="11" t="str">
        <f>IF('Estimate lines'!$P99="","",IF('Estimate lines'!M99="","",'Estimate lines'!M99))</f>
        <v/>
      </c>
      <c r="N99" s="11" t="str">
        <f t="shared" si="4"/>
        <v/>
      </c>
      <c r="O99" s="11" t="str">
        <f t="shared" si="5"/>
        <v/>
      </c>
      <c r="P99" s="15" t="str">
        <f>IF(A99="","",'Estimate lines'!N99)</f>
        <v/>
      </c>
      <c r="Q99" s="15" t="str">
        <f>IF(A99="","",'Estimate lines'!O99)</f>
        <v/>
      </c>
    </row>
    <row r="100" spans="1:17" ht="25.05" customHeight="1">
      <c r="A100" s="11" t="str">
        <f>IF('Estimate lines'!$P100="","",IF('Estimate lines'!A100="","",'Estimate lines'!A100))</f>
        <v/>
      </c>
      <c r="B100" s="11" t="str">
        <f>IF('Estimate lines'!$P100="","",IF('Estimate lines'!B100="","",'Estimate lines'!B100))</f>
        <v/>
      </c>
      <c r="C100" s="11" t="str">
        <f>IF('Estimate lines'!$P100="","",IF('Estimate lines'!C100="","",'Estimate lines'!C100))</f>
        <v/>
      </c>
      <c r="D100" s="11" t="str">
        <f>IF('Estimate lines'!$P100="","",IF('Estimate lines'!D100="","",'Estimate lines'!D100))</f>
        <v/>
      </c>
      <c r="E100" s="12" t="str">
        <f>IF('Estimate lines'!$P100="","",IF('Estimate lines'!E100="","",'Estimate lines'!E100))</f>
        <v/>
      </c>
      <c r="F100" s="20" t="str">
        <f>IF('Estimate lines'!$P100="","",IF('Estimate lines'!F100="","",'Estimate lines'!F100))</f>
        <v/>
      </c>
      <c r="G100" s="15" t="str">
        <f>IF('Estimate lines'!$P100="","",IF('Estimate lines'!G100="","",'Estimate lines'!G100))</f>
        <v/>
      </c>
      <c r="H100" s="15" t="str">
        <f>IF('Estimate lines'!$P100="","",IF('Estimate lines'!H100="","",'Estimate lines'!H100))</f>
        <v/>
      </c>
      <c r="I100" s="11" t="str">
        <f>IF('Estimate lines'!$P100="","",IF('Estimate lines'!I100="","",'Estimate lines'!I100))</f>
        <v/>
      </c>
      <c r="J100" s="11" t="str">
        <f>IF('Estimate lines'!$P100="","",IF('Estimate lines'!J100="","",'Estimate lines'!J100))</f>
        <v/>
      </c>
      <c r="K100" s="16" t="str">
        <f>IF('Estimate lines'!$P100="","",IF('Estimate lines'!K100="","",'Estimate lines'!K100))</f>
        <v/>
      </c>
      <c r="L100" s="11" t="str">
        <f>IF('Estimate lines'!$P100="","",IF('Estimate lines'!L100="","",'Estimate lines'!L100))</f>
        <v/>
      </c>
      <c r="M100" s="11" t="str">
        <f>IF('Estimate lines'!$P100="","",IF('Estimate lines'!M100="","",'Estimate lines'!M100))</f>
        <v/>
      </c>
      <c r="N100" s="11" t="str">
        <f t="shared" si="4"/>
        <v/>
      </c>
      <c r="O100" s="11" t="str">
        <f t="shared" si="5"/>
        <v/>
      </c>
      <c r="P100" s="15" t="str">
        <f>IF(A100="","",'Estimate lines'!N100)</f>
        <v/>
      </c>
      <c r="Q100" s="15" t="str">
        <f>IF(A100="","",'Estimate lines'!O100)</f>
        <v/>
      </c>
    </row>
    <row r="101" spans="1:17" ht="25.05" customHeight="1">
      <c r="A101" s="11" t="str">
        <f>IF('Estimate lines'!$P101="","",IF('Estimate lines'!A101="","",'Estimate lines'!A101))</f>
        <v/>
      </c>
      <c r="B101" s="11" t="str">
        <f>IF('Estimate lines'!$P101="","",IF('Estimate lines'!B101="","",'Estimate lines'!B101))</f>
        <v/>
      </c>
      <c r="C101" s="11" t="str">
        <f>IF('Estimate lines'!$P101="","",IF('Estimate lines'!C101="","",'Estimate lines'!C101))</f>
        <v/>
      </c>
      <c r="D101" s="11" t="str">
        <f>IF('Estimate lines'!$P101="","",IF('Estimate lines'!D101="","",'Estimate lines'!D101))</f>
        <v/>
      </c>
      <c r="E101" s="12" t="str">
        <f>IF('Estimate lines'!$P101="","",IF('Estimate lines'!E101="","",'Estimate lines'!E101))</f>
        <v/>
      </c>
      <c r="F101" s="20" t="str">
        <f>IF('Estimate lines'!$P101="","",IF('Estimate lines'!F101="","",'Estimate lines'!F101))</f>
        <v/>
      </c>
      <c r="G101" s="15" t="str">
        <f>IF('Estimate lines'!$P101="","",IF('Estimate lines'!G101="","",'Estimate lines'!G101))</f>
        <v/>
      </c>
      <c r="H101" s="15" t="str">
        <f>IF('Estimate lines'!$P101="","",IF('Estimate lines'!H101="","",'Estimate lines'!H101))</f>
        <v/>
      </c>
      <c r="I101" s="11" t="str">
        <f>IF('Estimate lines'!$P101="","",IF('Estimate lines'!I101="","",'Estimate lines'!I101))</f>
        <v/>
      </c>
      <c r="J101" s="11" t="str">
        <f>IF('Estimate lines'!$P101="","",IF('Estimate lines'!J101="","",'Estimate lines'!J101))</f>
        <v/>
      </c>
      <c r="K101" s="16" t="str">
        <f>IF('Estimate lines'!$P101="","",IF('Estimate lines'!K101="","",'Estimate lines'!K101))</f>
        <v/>
      </c>
      <c r="L101" s="11" t="str">
        <f>IF('Estimate lines'!$P101="","",IF('Estimate lines'!L101="","",'Estimate lines'!L101))</f>
        <v/>
      </c>
      <c r="M101" s="11" t="str">
        <f>IF('Estimate lines'!$P101="","",IF('Estimate lines'!M101="","",'Estimate lines'!M101))</f>
        <v/>
      </c>
      <c r="N101" s="11" t="str">
        <f t="shared" si="4"/>
        <v/>
      </c>
      <c r="O101" s="11" t="str">
        <f t="shared" si="5"/>
        <v/>
      </c>
      <c r="P101" s="15" t="str">
        <f>IF(A101="","",'Estimate lines'!N101)</f>
        <v/>
      </c>
      <c r="Q101" s="15" t="str">
        <f>IF(A101="","",'Estimate lines'!O101)</f>
        <v/>
      </c>
    </row>
    <row r="102" spans="1:17" ht="25.05" customHeight="1">
      <c r="A102" s="11" t="str">
        <f>IF('Estimate lines'!$P102="","",IF('Estimate lines'!A102="","",'Estimate lines'!A102))</f>
        <v/>
      </c>
      <c r="B102" s="11" t="str">
        <f>IF('Estimate lines'!$P102="","",IF('Estimate lines'!B102="","",'Estimate lines'!B102))</f>
        <v/>
      </c>
      <c r="C102" s="11" t="str">
        <f>IF('Estimate lines'!$P102="","",IF('Estimate lines'!C102="","",'Estimate lines'!C102))</f>
        <v/>
      </c>
      <c r="D102" s="11" t="str">
        <f>IF('Estimate lines'!$P102="","",IF('Estimate lines'!D102="","",'Estimate lines'!D102))</f>
        <v/>
      </c>
      <c r="E102" s="12" t="str">
        <f>IF('Estimate lines'!$P102="","",IF('Estimate lines'!E102="","",'Estimate lines'!E102))</f>
        <v/>
      </c>
      <c r="F102" s="20" t="str">
        <f>IF('Estimate lines'!$P102="","",IF('Estimate lines'!F102="","",'Estimate lines'!F102))</f>
        <v/>
      </c>
      <c r="G102" s="15" t="str">
        <f>IF('Estimate lines'!$P102="","",IF('Estimate lines'!G102="","",'Estimate lines'!G102))</f>
        <v/>
      </c>
      <c r="H102" s="15" t="str">
        <f>IF('Estimate lines'!$P102="","",IF('Estimate lines'!H102="","",'Estimate lines'!H102))</f>
        <v/>
      </c>
      <c r="I102" s="11" t="str">
        <f>IF('Estimate lines'!$P102="","",IF('Estimate lines'!I102="","",'Estimate lines'!I102))</f>
        <v/>
      </c>
      <c r="J102" s="11" t="str">
        <f>IF('Estimate lines'!$P102="","",IF('Estimate lines'!J102="","",'Estimate lines'!J102))</f>
        <v/>
      </c>
      <c r="K102" s="16" t="str">
        <f>IF('Estimate lines'!$P102="","",IF('Estimate lines'!K102="","",'Estimate lines'!K102))</f>
        <v/>
      </c>
      <c r="L102" s="11" t="str">
        <f>IF('Estimate lines'!$P102="","",IF('Estimate lines'!L102="","",'Estimate lines'!L102))</f>
        <v/>
      </c>
      <c r="M102" s="11" t="str">
        <f>IF('Estimate lines'!$P102="","",IF('Estimate lines'!M102="","",'Estimate lines'!M102))</f>
        <v/>
      </c>
      <c r="N102" s="11" t="str">
        <f t="shared" si="4"/>
        <v/>
      </c>
      <c r="O102" s="11" t="str">
        <f t="shared" si="5"/>
        <v/>
      </c>
      <c r="P102" s="15" t="str">
        <f>IF(A102="","",'Estimate lines'!N102)</f>
        <v/>
      </c>
      <c r="Q102" s="15" t="str">
        <f>IF(A102="","",'Estimate lines'!O102)</f>
        <v/>
      </c>
    </row>
    <row r="103" spans="1:17" ht="25.05" customHeight="1">
      <c r="A103" s="11" t="str">
        <f>IF('Estimate lines'!$P103="","",IF('Estimate lines'!A103="","",'Estimate lines'!A103))</f>
        <v/>
      </c>
      <c r="B103" s="11" t="str">
        <f>IF('Estimate lines'!$P103="","",IF('Estimate lines'!B103="","",'Estimate lines'!B103))</f>
        <v/>
      </c>
      <c r="C103" s="11" t="str">
        <f>IF('Estimate lines'!$P103="","",IF('Estimate lines'!C103="","",'Estimate lines'!C103))</f>
        <v/>
      </c>
      <c r="D103" s="11" t="str">
        <f>IF('Estimate lines'!$P103="","",IF('Estimate lines'!D103="","",'Estimate lines'!D103))</f>
        <v/>
      </c>
      <c r="E103" s="12" t="str">
        <f>IF('Estimate lines'!$P103="","",IF('Estimate lines'!E103="","",'Estimate lines'!E103))</f>
        <v/>
      </c>
      <c r="F103" s="20" t="str">
        <f>IF('Estimate lines'!$P103="","",IF('Estimate lines'!F103="","",'Estimate lines'!F103))</f>
        <v/>
      </c>
      <c r="G103" s="15" t="str">
        <f>IF('Estimate lines'!$P103="","",IF('Estimate lines'!G103="","",'Estimate lines'!G103))</f>
        <v/>
      </c>
      <c r="H103" s="15" t="str">
        <f>IF('Estimate lines'!$P103="","",IF('Estimate lines'!H103="","",'Estimate lines'!H103))</f>
        <v/>
      </c>
      <c r="I103" s="11" t="str">
        <f>IF('Estimate lines'!$P103="","",IF('Estimate lines'!I103="","",'Estimate lines'!I103))</f>
        <v/>
      </c>
      <c r="J103" s="11" t="str">
        <f>IF('Estimate lines'!$P103="","",IF('Estimate lines'!J103="","",'Estimate lines'!J103))</f>
        <v/>
      </c>
      <c r="K103" s="16" t="str">
        <f>IF('Estimate lines'!$P103="","",IF('Estimate lines'!K103="","",'Estimate lines'!K103))</f>
        <v/>
      </c>
      <c r="L103" s="11" t="str">
        <f>IF('Estimate lines'!$P103="","",IF('Estimate lines'!L103="","",'Estimate lines'!L103))</f>
        <v/>
      </c>
      <c r="M103" s="11" t="str">
        <f>IF('Estimate lines'!$P103="","",IF('Estimate lines'!M103="","",'Estimate lines'!M103))</f>
        <v/>
      </c>
      <c r="N103" s="11" t="str">
        <f t="shared" si="4"/>
        <v/>
      </c>
      <c r="O103" s="11" t="str">
        <f t="shared" si="5"/>
        <v/>
      </c>
      <c r="P103" s="15" t="str">
        <f>IF(A103="","",'Estimate lines'!N103)</f>
        <v/>
      </c>
      <c r="Q103" s="15" t="str">
        <f>IF(A103="","",'Estimate lines'!O103)</f>
        <v/>
      </c>
    </row>
    <row r="104" spans="1:17" ht="25.05" customHeight="1">
      <c r="A104" s="11" t="str">
        <f>IF('Estimate lines'!$P104="","",IF('Estimate lines'!A104="","",'Estimate lines'!A104))</f>
        <v/>
      </c>
      <c r="B104" s="11" t="str">
        <f>IF('Estimate lines'!$P104="","",IF('Estimate lines'!B104="","",'Estimate lines'!B104))</f>
        <v/>
      </c>
      <c r="C104" s="11" t="str">
        <f>IF('Estimate lines'!$P104="","",IF('Estimate lines'!C104="","",'Estimate lines'!C104))</f>
        <v/>
      </c>
      <c r="D104" s="11" t="str">
        <f>IF('Estimate lines'!$P104="","",IF('Estimate lines'!D104="","",'Estimate lines'!D104))</f>
        <v/>
      </c>
      <c r="E104" s="12" t="str">
        <f>IF('Estimate lines'!$P104="","",IF('Estimate lines'!E104="","",'Estimate lines'!E104))</f>
        <v/>
      </c>
      <c r="F104" s="20" t="str">
        <f>IF('Estimate lines'!$P104="","",IF('Estimate lines'!F104="","",'Estimate lines'!F104))</f>
        <v/>
      </c>
      <c r="G104" s="15" t="str">
        <f>IF('Estimate lines'!$P104="","",IF('Estimate lines'!G104="","",'Estimate lines'!G104))</f>
        <v/>
      </c>
      <c r="H104" s="15" t="str">
        <f>IF('Estimate lines'!$P104="","",IF('Estimate lines'!H104="","",'Estimate lines'!H104))</f>
        <v/>
      </c>
      <c r="I104" s="11" t="str">
        <f>IF('Estimate lines'!$P104="","",IF('Estimate lines'!I104="","",'Estimate lines'!I104))</f>
        <v/>
      </c>
      <c r="J104" s="11" t="str">
        <f>IF('Estimate lines'!$P104="","",IF('Estimate lines'!J104="","",'Estimate lines'!J104))</f>
        <v/>
      </c>
      <c r="K104" s="16" t="str">
        <f>IF('Estimate lines'!$P104="","",IF('Estimate lines'!K104="","",'Estimate lines'!K104))</f>
        <v/>
      </c>
      <c r="L104" s="11" t="str">
        <f>IF('Estimate lines'!$P104="","",IF('Estimate lines'!L104="","",'Estimate lines'!L104))</f>
        <v/>
      </c>
      <c r="M104" s="11" t="str">
        <f>IF('Estimate lines'!$P104="","",IF('Estimate lines'!M104="","",'Estimate lines'!M104))</f>
        <v/>
      </c>
      <c r="N104" s="11" t="str">
        <f t="shared" si="4"/>
        <v/>
      </c>
      <c r="O104" s="11" t="str">
        <f t="shared" si="5"/>
        <v/>
      </c>
      <c r="P104" s="15" t="str">
        <f>IF(A104="","",'Estimate lines'!N104)</f>
        <v/>
      </c>
      <c r="Q104" s="15" t="str">
        <f>IF(A104="","",'Estimate lines'!O104)</f>
        <v/>
      </c>
    </row>
    <row r="105" spans="1:17" ht="25.05" customHeight="1">
      <c r="A105" s="11" t="str">
        <f>IF('Estimate lines'!$P105="","",IF('Estimate lines'!A105="","",'Estimate lines'!A105))</f>
        <v/>
      </c>
      <c r="B105" s="11" t="str">
        <f>IF('Estimate lines'!$P105="","",IF('Estimate lines'!B105="","",'Estimate lines'!B105))</f>
        <v/>
      </c>
      <c r="C105" s="11" t="str">
        <f>IF('Estimate lines'!$P105="","",IF('Estimate lines'!C105="","",'Estimate lines'!C105))</f>
        <v/>
      </c>
      <c r="D105" s="11" t="str">
        <f>IF('Estimate lines'!$P105="","",IF('Estimate lines'!D105="","",'Estimate lines'!D105))</f>
        <v/>
      </c>
      <c r="E105" s="12" t="str">
        <f>IF('Estimate lines'!$P105="","",IF('Estimate lines'!E105="","",'Estimate lines'!E105))</f>
        <v/>
      </c>
      <c r="F105" s="20" t="str">
        <f>IF('Estimate lines'!$P105="","",IF('Estimate lines'!F105="","",'Estimate lines'!F105))</f>
        <v/>
      </c>
      <c r="G105" s="15" t="str">
        <f>IF('Estimate lines'!$P105="","",IF('Estimate lines'!G105="","",'Estimate lines'!G105))</f>
        <v/>
      </c>
      <c r="H105" s="15" t="str">
        <f>IF('Estimate lines'!$P105="","",IF('Estimate lines'!H105="","",'Estimate lines'!H105))</f>
        <v/>
      </c>
      <c r="I105" s="11" t="str">
        <f>IF('Estimate lines'!$P105="","",IF('Estimate lines'!I105="","",'Estimate lines'!I105))</f>
        <v/>
      </c>
      <c r="J105" s="11" t="str">
        <f>IF('Estimate lines'!$P105="","",IF('Estimate lines'!J105="","",'Estimate lines'!J105))</f>
        <v/>
      </c>
      <c r="K105" s="16" t="str">
        <f>IF('Estimate lines'!$P105="","",IF('Estimate lines'!K105="","",'Estimate lines'!K105))</f>
        <v/>
      </c>
      <c r="L105" s="11" t="str">
        <f>IF('Estimate lines'!$P105="","",IF('Estimate lines'!L105="","",'Estimate lines'!L105))</f>
        <v/>
      </c>
      <c r="M105" s="11" t="str">
        <f>IF('Estimate lines'!$P105="","",IF('Estimate lines'!M105="","",'Estimate lines'!M105))</f>
        <v/>
      </c>
      <c r="N105" s="11" t="str">
        <f t="shared" si="4"/>
        <v/>
      </c>
      <c r="O105" s="11" t="str">
        <f t="shared" si="5"/>
        <v/>
      </c>
      <c r="P105" s="15" t="str">
        <f>IF(A105="","",'Estimate lines'!N105)</f>
        <v/>
      </c>
      <c r="Q105" s="15" t="str">
        <f>IF(A105="","",'Estimate lines'!O105)</f>
        <v/>
      </c>
    </row>
    <row r="106" spans="1:17" ht="25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25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Project</vt:lpstr>
      <vt:lpstr>Estimate lines</vt:lpstr>
      <vt:lpstr>Scope</vt:lpstr>
      <vt:lpstr>Sources</vt:lpstr>
      <vt:lpstr>Calculation</vt:lpstr>
      <vt:lpstr>PPO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Fiedler</cp:lastModifiedBy>
  <dcterms:modified xsi:type="dcterms:W3CDTF">2026-09-15T07:30:50Z</dcterms:modified>
</cp:coreProperties>
</file>